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inadk\Source\Repos\GSI Azure COE Workshops\Cost Modeling\Demo\"/>
    </mc:Choice>
  </mc:AlternateContent>
  <bookViews>
    <workbookView xWindow="0" yWindow="0" windowWidth="7470" windowHeight="2700"/>
  </bookViews>
  <sheets>
    <sheet name="Bill Of Material" sheetId="1" r:id="rId1"/>
    <sheet name="Azure Rate Card" sheetId="2" r:id="rId2"/>
    <sheet name="Mapping Table" sheetId="3" state="hidden" r:id="rId3"/>
  </sheets>
  <functionGroups builtInGroupCount="18"/>
  <definedNames>
    <definedName name="_xlnm._FilterDatabase" localSheetId="1" hidden="1">'Azure Rate Card'!$F$2:$F$1938</definedName>
    <definedName name="_xlnm.Extract" localSheetId="1">'Azure Rate Card'!$M$2:$M$28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1" l="1"/>
  <c r="G6" i="1"/>
  <c r="G7" i="1"/>
  <c r="G8" i="1"/>
  <c r="G9" i="1"/>
  <c r="G10" i="1"/>
  <c r="G4" i="1"/>
  <c r="F5" i="1"/>
  <c r="F6" i="1"/>
  <c r="F7" i="1"/>
  <c r="F8" i="1"/>
  <c r="F9" i="1"/>
  <c r="F10" i="1"/>
  <c r="F4" i="1"/>
  <c r="I5" i="1"/>
  <c r="J5" i="1" s="1"/>
  <c r="I6" i="1"/>
  <c r="I7" i="1"/>
  <c r="J7" i="1" s="1"/>
  <c r="I8" i="1"/>
  <c r="J8" i="1" s="1"/>
  <c r="I9" i="1"/>
  <c r="J9" i="1" s="1"/>
  <c r="I10" i="1"/>
  <c r="J10" i="1" s="1"/>
  <c r="I4" i="1"/>
  <c r="J4" i="1" s="1"/>
  <c r="J6" i="1"/>
  <c r="J11" i="1" l="1"/>
</calcChain>
</file>

<file path=xl/sharedStrings.xml><?xml version="1.0" encoding="utf-8"?>
<sst xmlns="http://schemas.openxmlformats.org/spreadsheetml/2006/main" count="379" uniqueCount="363">
  <si>
    <t>Category</t>
  </si>
  <si>
    <t>Item Type</t>
  </si>
  <si>
    <t>Unit Of Measure</t>
  </si>
  <si>
    <t>MeterName</t>
  </si>
  <si>
    <t>MeterCategory</t>
  </si>
  <si>
    <t>MeterSubCategory</t>
  </si>
  <si>
    <t>Compute Hours</t>
  </si>
  <si>
    <t>Cloud Services</t>
  </si>
  <si>
    <t>A5 Cloud Services</t>
  </si>
  <si>
    <t>US East</t>
  </si>
  <si>
    <t>Virtual Machines</t>
  </si>
  <si>
    <t>EU West</t>
  </si>
  <si>
    <t>Standard S3 Database Days</t>
  </si>
  <si>
    <t>Data Services</t>
  </si>
  <si>
    <t>Premium Storage - Snapshots (GB)</t>
  </si>
  <si>
    <t>Storage</t>
  </si>
  <si>
    <t>US North Central</t>
  </si>
  <si>
    <t>Premium P6 Database Days</t>
  </si>
  <si>
    <t>AU Southeast</t>
  </si>
  <si>
    <t>Premium Storage - Page Blob/P10 (Units)</t>
  </si>
  <si>
    <t>US West</t>
  </si>
  <si>
    <t>Standard API Management Units</t>
  </si>
  <si>
    <t>App Services</t>
  </si>
  <si>
    <t>US East 2</t>
  </si>
  <si>
    <t>BR South</t>
  </si>
  <si>
    <t>Managed Capacity (GB)</t>
  </si>
  <si>
    <t>Business Analytics</t>
  </si>
  <si>
    <t>DWU</t>
  </si>
  <si>
    <t>US South Central</t>
  </si>
  <si>
    <t>US Central</t>
  </si>
  <si>
    <t>Session Hours</t>
  </si>
  <si>
    <t>Xbox LIVE Game Services</t>
  </si>
  <si>
    <t>A1 Cloud Services</t>
  </si>
  <si>
    <t>Standard DocumentDB Days</t>
  </si>
  <si>
    <t>IN West</t>
  </si>
  <si>
    <t>SQL Server Enterprise (up to 4 cores)</t>
  </si>
  <si>
    <t>12699064-6912-437d-8cf7-9a50364cfb1d</t>
  </si>
  <si>
    <t>Standard S4 Secondary Database Days</t>
  </si>
  <si>
    <t>AU East</t>
  </si>
  <si>
    <t>Standard Medium App Service Hours</t>
  </si>
  <si>
    <t>Azure App Service</t>
  </si>
  <si>
    <t>JA East</t>
  </si>
  <si>
    <t>A1 HDInsight</t>
  </si>
  <si>
    <t>AP Southeast</t>
  </si>
  <si>
    <t>Basic users</t>
  </si>
  <si>
    <t>Visual Studio</t>
  </si>
  <si>
    <t>Users</t>
  </si>
  <si>
    <t>Premium P6 Secondary Active Geo Database Days</t>
  </si>
  <si>
    <t>Standard_D1 Cloud Services</t>
  </si>
  <si>
    <t>3e7fc27f-95cc-452f-a3f7-4d182019eefd</t>
  </si>
  <si>
    <t>A10 Cloud Services</t>
  </si>
  <si>
    <t>A1 VM (Windows)</t>
  </si>
  <si>
    <t>AP East</t>
  </si>
  <si>
    <t>Premium VM Support Hours</t>
  </si>
  <si>
    <t>Linux Support</t>
  </si>
  <si>
    <t>Application Gateway Hours</t>
  </si>
  <si>
    <t>Networking</t>
  </si>
  <si>
    <t>Basic Application Gateway (Small)</t>
  </si>
  <si>
    <t>Premium Storage - Page Blob/P30 (Units)</t>
  </si>
  <si>
    <t>Unlimited Data - 5 Gbps</t>
  </si>
  <si>
    <t>Zone 1</t>
  </si>
  <si>
    <t>Connections</t>
  </si>
  <si>
    <t>Premium Storage - Page Blob/P20 (Units)</t>
  </si>
  <si>
    <t>Metered Data - 10 Gbps</t>
  </si>
  <si>
    <t>Standard Overage Data Points (1M)</t>
  </si>
  <si>
    <t>EU North</t>
  </si>
  <si>
    <t>Standard VM Support Hours</t>
  </si>
  <si>
    <t>Data Transfer Out - Metered Data (GB)</t>
  </si>
  <si>
    <t>Free Data Analyzed (GB)</t>
  </si>
  <si>
    <t>JA West</t>
  </si>
  <si>
    <t>Standard Elastic Database Existence</t>
  </si>
  <si>
    <t>Standard S4 Database Days</t>
  </si>
  <si>
    <t>SNI SSL</t>
  </si>
  <si>
    <t>Websites</t>
  </si>
  <si>
    <t>Remaps</t>
  </si>
  <si>
    <t>Advanced Users</t>
  </si>
  <si>
    <t>Transactions (in 1,000,000s)</t>
  </si>
  <si>
    <t>Standard S1 Search Hour</t>
  </si>
  <si>
    <t>Basic BizTalk Units</t>
  </si>
  <si>
    <t>Integration</t>
  </si>
  <si>
    <t>Unit Hours</t>
  </si>
  <si>
    <t>Standard IO - Page Blob/Disk (GB)</t>
  </si>
  <si>
    <t>Live Encoder Input Hours</t>
  </si>
  <si>
    <t>Media</t>
  </si>
  <si>
    <t>A11 Canonical</t>
  </si>
  <si>
    <t>Basic Large App Service Hours</t>
  </si>
  <si>
    <t>Standard S3 Secondary Database Days</t>
  </si>
  <si>
    <t>High Frequency (Units)</t>
  </si>
  <si>
    <t>Azure IoT Hub</t>
  </si>
  <si>
    <t>50 Mbps Connections</t>
  </si>
  <si>
    <t>Standard S1 Database Days</t>
  </si>
  <si>
    <t>Standard IO - Block Blob (GB)</t>
  </si>
  <si>
    <t>Unlimited Data - 100 Mbps</t>
  </si>
  <si>
    <t>Zone 3</t>
  </si>
  <si>
    <t>High Frequency Cloud Activity</t>
  </si>
  <si>
    <t>Free Search Hour</t>
  </si>
  <si>
    <t>A7 HDInsight</t>
  </si>
  <si>
    <t>Data Transfer In (GB)</t>
  </si>
  <si>
    <t>IP SSL</t>
  </si>
  <si>
    <t>Unlimited Data - 10 Gbps</t>
  </si>
  <si>
    <t>Zone 2</t>
  </si>
  <si>
    <t>S1 DocumentDB Hours</t>
  </si>
  <si>
    <t>Shared App Service Hours</t>
  </si>
  <si>
    <t>IN South</t>
  </si>
  <si>
    <t>Standard S2 Database Days</t>
  </si>
  <si>
    <t>Standard Scheduler Units</t>
  </si>
  <si>
    <t>Scheduler</t>
  </si>
  <si>
    <t>Developer BizTalk Units</t>
  </si>
  <si>
    <t>Memory Intensive Batch Instance Compute Hours</t>
  </si>
  <si>
    <t>Batch</t>
  </si>
  <si>
    <t>Premium Origin Streamed Hours</t>
  </si>
  <si>
    <t>Standard IO - Table/ Queue (GB)</t>
  </si>
  <si>
    <t>A6 Cloud Services</t>
  </si>
  <si>
    <t>Data Transfer Out (GB)</t>
  </si>
  <si>
    <t>Data Transfer In at 200 Mbps (GB)</t>
  </si>
  <si>
    <t>Metered Data - 5 Gbps</t>
  </si>
  <si>
    <t>Premium (5 GB)</t>
  </si>
  <si>
    <t>Cache</t>
  </si>
  <si>
    <t>Free Mobile Services Units</t>
  </si>
  <si>
    <t>Mobile Services</t>
  </si>
  <si>
    <t>Premium P2 Secondary Geo Database Days</t>
  </si>
  <si>
    <t>Premium P11 Secondary Geo Database Days</t>
  </si>
  <si>
    <t>Standard S2 Secondary Database Days</t>
  </si>
  <si>
    <t>Standard S0 Secondary Database Days</t>
  </si>
  <si>
    <t>HSM-key</t>
  </si>
  <si>
    <t>Standard Automation Unit</t>
  </si>
  <si>
    <t>General Purpose Batch Instance Compute Hours</t>
  </si>
  <si>
    <t>Standard Small App Service Hours</t>
  </si>
  <si>
    <t>Ingress Events (in 1,000,000s)</t>
  </si>
  <si>
    <t>Service Bus</t>
  </si>
  <si>
    <t>Standard IO - Files (GB)</t>
  </si>
  <si>
    <t>Geo Redundant</t>
  </si>
  <si>
    <t>Premium P1 Database Days</t>
  </si>
  <si>
    <t>Professional Users</t>
  </si>
  <si>
    <t>Monthly Fee</t>
  </si>
  <si>
    <t>Basic VM Support Hours</t>
  </si>
  <si>
    <t>Azure Endpoints</t>
  </si>
  <si>
    <t>Data Transfer Out at 500 Mbps (GB)</t>
  </si>
  <si>
    <t>Database Hours</t>
  </si>
  <si>
    <t>Data Management</t>
  </si>
  <si>
    <t>Throughput Unit Hours</t>
  </si>
  <si>
    <t>Premium CDN Data Transfer (GB)</t>
  </si>
  <si>
    <t>CDN</t>
  </si>
  <si>
    <t>Standard Elastic DTU Pack</t>
  </si>
  <si>
    <t>Unlimited Data - 1 Gbps</t>
  </si>
  <si>
    <t>Unlimited Data - 200 Mbps</t>
  </si>
  <si>
    <t>Standard Users</t>
  </si>
  <si>
    <t>RemoteApp</t>
  </si>
  <si>
    <t>Metered Data - 50 Mbps</t>
  </si>
  <si>
    <t>Inactive Pipelines</t>
  </si>
  <si>
    <t>Free App Service</t>
  </si>
  <si>
    <t>Standard S0 Database Days</t>
  </si>
  <si>
    <t>Basic Search Hour</t>
  </si>
  <si>
    <t>A0 Cloud Services</t>
  </si>
  <si>
    <t>Data Transfer Out - Unlimited Data (GB)</t>
  </si>
  <si>
    <t>1 Gbps Connections</t>
  </si>
  <si>
    <t>Basic C6 (Hours)</t>
  </si>
  <si>
    <t>Premium Agents</t>
  </si>
  <si>
    <t>Premium P1 Secondary Active Geo Database Days</t>
  </si>
  <si>
    <t>Premium P2 Secondary Active Geo Database Days</t>
  </si>
  <si>
    <t>Xbox Live Gaming Services</t>
  </si>
  <si>
    <t>Premium P2 Database Days</t>
  </si>
  <si>
    <t>Premium Storage - Files (GB)</t>
  </si>
  <si>
    <t>Standard User-Streamed Hours</t>
  </si>
  <si>
    <t>Basic Small App Service Hours</t>
  </si>
  <si>
    <t>Premium Live Encoder Input Hours</t>
  </si>
  <si>
    <t>Standard Apps</t>
  </si>
  <si>
    <t>Data Transfer Out at 10 Gbps (GB)</t>
  </si>
  <si>
    <t>Inter VNET Data Transfer Out (GB)</t>
  </si>
  <si>
    <t>Virtual Network</t>
  </si>
  <si>
    <t>Load Testing VUser Minutes</t>
  </si>
  <si>
    <t>Basic Elastic Database Existence</t>
  </si>
  <si>
    <t>fdad599c-0589-42c4-8f8b-011e214baffa</t>
  </si>
  <si>
    <t>Data Transfer Out at 200 Mbps (GB)</t>
  </si>
  <si>
    <t>Premium P4 Secondary Active Geo Database Days</t>
  </si>
  <si>
    <t>Production API Compute Hours</t>
  </si>
  <si>
    <t>A10 Canonical</t>
  </si>
  <si>
    <t>A5 HDInsight (Non-Windows)</t>
  </si>
  <si>
    <t>External Identity Authentications</t>
  </si>
  <si>
    <t>Identity</t>
  </si>
  <si>
    <t>Data Transfer In at 10 Gbps (GB)</t>
  </si>
  <si>
    <t>A10 HDInsight</t>
  </si>
  <si>
    <t>DNS Queries (1M)</t>
  </si>
  <si>
    <t>Basic C0 (Hours)</t>
  </si>
  <si>
    <t>Standard Large App Service Hours</t>
  </si>
  <si>
    <t>Protected Instances</t>
  </si>
  <si>
    <t>Recovery Services</t>
  </si>
  <si>
    <t>High Frequency On Premises Activity</t>
  </si>
  <si>
    <t>Premium Extra Large App Service Hours</t>
  </si>
  <si>
    <t>Standard C2 (Hours)</t>
  </si>
  <si>
    <t>Metered Data - 2 Gbps</t>
  </si>
  <si>
    <t>Metered Data - 100 Mbps</t>
  </si>
  <si>
    <t>PlayReady Licenses (in 100s)</t>
  </si>
  <si>
    <t>Data Transfer Out at 1 Gbps (GB)</t>
  </si>
  <si>
    <t>A6 HDInsight</t>
  </si>
  <si>
    <t>Data Movement Cloud</t>
  </si>
  <si>
    <t>Standard Overage Session Hours</t>
  </si>
  <si>
    <t>Premium BizTalk Units</t>
  </si>
  <si>
    <t>Premium P6 Secondary Geo Database Days</t>
  </si>
  <si>
    <t>Data Transfer In at 1 Gbps (GB)</t>
  </si>
  <si>
    <t>Basic Database Days</t>
  </si>
  <si>
    <t>Device Handling (per device)</t>
  </si>
  <si>
    <t>bb5b2483-4a4c-46df-a145-b1a4b13fb74c</t>
  </si>
  <si>
    <t>10 Gbps Connections</t>
  </si>
  <si>
    <t>Premium Small App Service Hours</t>
  </si>
  <si>
    <t>Standard MS1 Database (Hours)</t>
  </si>
  <si>
    <t>Free Notification Hub Units</t>
  </si>
  <si>
    <t>Premium Plus Users</t>
  </si>
  <si>
    <t>Premium Scheduler Units</t>
  </si>
  <si>
    <t>Basic Medium App Service Hours</t>
  </si>
  <si>
    <t>Standard C4 (Hours)</t>
  </si>
  <si>
    <t>SQL Reporting Hours</t>
  </si>
  <si>
    <t>SQL Reporting</t>
  </si>
  <si>
    <t>Premium User-Streamed Hours</t>
  </si>
  <si>
    <t>Premium P11 Database Days</t>
  </si>
  <si>
    <t>HP1 Gateway Hours</t>
  </si>
  <si>
    <t>Low Frequency (Units)</t>
  </si>
  <si>
    <t>200 Mbps Connections</t>
  </si>
  <si>
    <t>Unlimited Data - 2 Gbps</t>
  </si>
  <si>
    <t>Standard BizTalk Units</t>
  </si>
  <si>
    <t>Premium Large App Service Hours</t>
  </si>
  <si>
    <t>A4 HDInsight</t>
  </si>
  <si>
    <t>Indexer Input Hours</t>
  </si>
  <si>
    <t>Authentications (in 10s)</t>
  </si>
  <si>
    <t>Additional storage for VM replicated to Azure</t>
  </si>
  <si>
    <t>Standard S1 Secondary Database Days</t>
  </si>
  <si>
    <t>Standard C6 (Hours)</t>
  </si>
  <si>
    <t>Instance Hours</t>
  </si>
  <si>
    <t>SQL StreamInsight</t>
  </si>
  <si>
    <t>Unlimited Data - 50 Mbps</t>
  </si>
  <si>
    <t>Zones</t>
  </si>
  <si>
    <t>Studio Experiment Hours</t>
  </si>
  <si>
    <t>Preview Feature (GB)</t>
  </si>
  <si>
    <t>100 Mbps Connections</t>
  </si>
  <si>
    <t>A10 SLES</t>
  </si>
  <si>
    <t>Premium P1 Secondary Geo Database Days</t>
  </si>
  <si>
    <t>Free (Units)</t>
  </si>
  <si>
    <t>Basic Compute Hours</t>
  </si>
  <si>
    <t>S2 Domain Services Hours</t>
  </si>
  <si>
    <t>Basic Automation Minutes</t>
  </si>
  <si>
    <t>Named User (21 to 100 Users)</t>
  </si>
  <si>
    <t>A3 HDInsight</t>
  </si>
  <si>
    <t>API Service Prediction Hours</t>
  </si>
  <si>
    <t>Basic Mobile Services Units</t>
  </si>
  <si>
    <t>Free Database Days</t>
  </si>
  <si>
    <t>IO Unit Hours</t>
  </si>
  <si>
    <t>Standard CDN Data Transfer (GB)</t>
  </si>
  <si>
    <t>SSD Based Instance Compute Hours</t>
  </si>
  <si>
    <t>Unlimited Data - 500 Mbps</t>
  </si>
  <si>
    <t>Studio Experiment Compute Hours</t>
  </si>
  <si>
    <t>AES Keys (in 100s)</t>
  </si>
  <si>
    <t>Metered Data - 1 Gbps</t>
  </si>
  <si>
    <t>Metered Data - 500 Mbps</t>
  </si>
  <si>
    <t>Standard Gateway Hours</t>
  </si>
  <si>
    <t>Premium Plus Overage Session Hours</t>
  </si>
  <si>
    <t>Storage (GB)</t>
  </si>
  <si>
    <t>Base Unit</t>
  </si>
  <si>
    <t>Notification Hubs</t>
  </si>
  <si>
    <t>A11 OpenLogic</t>
  </si>
  <si>
    <t>Data Processed (GB)</t>
  </si>
  <si>
    <t>Premium API Management</t>
  </si>
  <si>
    <t>Premium P11 Secondary Active Geo Database Days</t>
  </si>
  <si>
    <t>Data at Rest (GB)</t>
  </si>
  <si>
    <t>740bac0f-0db5-4b89-b8af-270bacc2c8da</t>
  </si>
  <si>
    <t>Throughput Units (Hours)</t>
  </si>
  <si>
    <t>Data Transfer In at 500 Mbps (GB)</t>
  </si>
  <si>
    <t>Basic C5 (Hours)</t>
  </si>
  <si>
    <t>Data Movement On Premises</t>
  </si>
  <si>
    <t>Automation DSC</t>
  </si>
  <si>
    <t>Standard Mobile Services Units</t>
  </si>
  <si>
    <t>Standard S2 Search Hour</t>
  </si>
  <si>
    <t>Basic C2 (Hours)</t>
  </si>
  <si>
    <t>Basic Authentications</t>
  </si>
  <si>
    <t>Developer API Management Units</t>
  </si>
  <si>
    <t>Basic (128 MB)</t>
  </si>
  <si>
    <t>S2 DocumentDB Hours</t>
  </si>
  <si>
    <t>Standard MS3 Database (Hours)</t>
  </si>
  <si>
    <t>Premium Apps</t>
  </si>
  <si>
    <t>Streaming Units (Hours)</t>
  </si>
  <si>
    <t>Operations (in 10,000s)</t>
  </si>
  <si>
    <t>Pushes (in 1,000,000s)</t>
  </si>
  <si>
    <t>Users (in 100s)</t>
  </si>
  <si>
    <t>A0 VM (Windows)</t>
  </si>
  <si>
    <t>0e9d0c9b-ab6d-4312-9c7e-3794e22af9c4</t>
  </si>
  <si>
    <t>Metered Data - 200 Mbps</t>
  </si>
  <si>
    <t>Standard Origin Streamed Hours</t>
  </si>
  <si>
    <t>Operations (in 1,000,000s)</t>
  </si>
  <si>
    <t>Premium Users</t>
  </si>
  <si>
    <t>Standard C1 (Hours)</t>
  </si>
  <si>
    <t>Standard Data Analyzed (GB)</t>
  </si>
  <si>
    <t>Standard Compute Hours</t>
  </si>
  <si>
    <t>Premium Overage Session Hours</t>
  </si>
  <si>
    <t>Custom Domain Resale (Domains)</t>
  </si>
  <si>
    <t>Standard MS2 Database (Hours)</t>
  </si>
  <si>
    <t>A1 HDInsight (Non-Windows)</t>
  </si>
  <si>
    <t>0c6206c1-0315-42b5-9dfe-5a97cc653f9a</t>
  </si>
  <si>
    <t>10 Mbps Connections</t>
  </si>
  <si>
    <t>VM replicated to System Center</t>
  </si>
  <si>
    <t>A0 VM (Non-Windows)</t>
  </si>
  <si>
    <t>Standard Encoder (Output GB)</t>
  </si>
  <si>
    <t>Premium Medium App Service Hours</t>
  </si>
  <si>
    <t>S3 DocumentDB Hours</t>
  </si>
  <si>
    <t>Messages (in 10,000s)</t>
  </si>
  <si>
    <t>Job Units</t>
  </si>
  <si>
    <t>Relay Hours (in 100s)</t>
  </si>
  <si>
    <t>Standard Encoding Reserved Units</t>
  </si>
  <si>
    <t>S3 Domain Services Hours</t>
  </si>
  <si>
    <t>Private Agents</t>
  </si>
  <si>
    <t>Basic Elastic DTU Pack</t>
  </si>
  <si>
    <t>Build Minutes</t>
  </si>
  <si>
    <t>Live Channel Hours</t>
  </si>
  <si>
    <t>IP Address Hours</t>
  </si>
  <si>
    <t>Basic C4 (Hours)</t>
  </si>
  <si>
    <t>Premium Overage Data Points (1M)</t>
  </si>
  <si>
    <t>Premium Elastic DTU Pack</t>
  </si>
  <si>
    <t>Encoding Data Processed (GB)</t>
  </si>
  <si>
    <t>Standard MS4 Database (Hours)</t>
  </si>
  <si>
    <t>Low Frequency Cloud Activity</t>
  </si>
  <si>
    <t>Premium Encoder (Output GB)</t>
  </si>
  <si>
    <t>Compute Intensive Batch Instance Compute Hours</t>
  </si>
  <si>
    <t>Premium Compute Hours</t>
  </si>
  <si>
    <t>Standard (1 GB)</t>
  </si>
  <si>
    <t>Standard C0 (Hours)</t>
  </si>
  <si>
    <t>API Service Predictions (in 1000s)</t>
  </si>
  <si>
    <t>Messaging Unit</t>
  </si>
  <si>
    <t>Premium P4 Secondary Geo Database Days</t>
  </si>
  <si>
    <t>Basic Gateway Hours</t>
  </si>
  <si>
    <t>Free Automation Minutes</t>
  </si>
  <si>
    <t>Storage Transactions (in 10,000s)</t>
  </si>
  <si>
    <t>Free Database (Hours)</t>
  </si>
  <si>
    <t>Premium P4 Database Days</t>
  </si>
  <si>
    <t>Named User (more than 100 Users)</t>
  </si>
  <si>
    <t>Basic Encoding Reserved Units</t>
  </si>
  <si>
    <t>VM replicated to Azure</t>
  </si>
  <si>
    <t>Standard C3 (Hours)</t>
  </si>
  <si>
    <t>Test Manager Users</t>
  </si>
  <si>
    <t>Basic C1 (Hours)</t>
  </si>
  <si>
    <t>Named User (1 to 20 Users)</t>
  </si>
  <si>
    <t>Standard C5 (Hours)</t>
  </si>
  <si>
    <t>Low Frequency On Premises Activity</t>
  </si>
  <si>
    <t>500 Mbps Connections</t>
  </si>
  <si>
    <t>Premium Data Analyzed (GB)</t>
  </si>
  <si>
    <t>IN Central</t>
  </si>
  <si>
    <t>Premium Elastic Database Existence</t>
  </si>
  <si>
    <t>External Endpoints</t>
  </si>
  <si>
    <t>Free Apps</t>
  </si>
  <si>
    <t>A5 OpenLogic</t>
  </si>
  <si>
    <t>Active Users</t>
  </si>
  <si>
    <t>Premium Encoding Reserved Units</t>
  </si>
  <si>
    <t>Production API Transactions (in 1000s)</t>
  </si>
  <si>
    <t>Basic C3 (Hours)</t>
  </si>
  <si>
    <t>Basic Overage Session Hours</t>
  </si>
  <si>
    <t>S1 Domain Services Hours</t>
  </si>
  <si>
    <t>Streaming Units</t>
  </si>
  <si>
    <t>BGP Routes Add-on Units</t>
  </si>
  <si>
    <t>Region</t>
  </si>
  <si>
    <t>Regions</t>
  </si>
  <si>
    <t>Rate</t>
  </si>
  <si>
    <t>Quantity</t>
  </si>
  <si>
    <t>Azure Bill of Material</t>
  </si>
  <si>
    <t>Meter GUID</t>
  </si>
  <si>
    <t>Consumption Cost - Monthly</t>
  </si>
  <si>
    <t>Sub 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</si>
</sst>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$-409]#,##0"/>
  </numFmts>
  <fonts count="7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thick">
        <color theme="4"/>
      </bottom>
      <diagonal/>
    </border>
    <border>
      <left/>
      <right/>
      <top style="medium">
        <color indexed="64"/>
      </top>
      <bottom style="thick">
        <color theme="4"/>
      </bottom>
      <diagonal/>
    </border>
    <border>
      <left/>
      <right style="medium">
        <color indexed="64"/>
      </right>
      <top style="medium">
        <color indexed="64"/>
      </top>
      <bottom style="thick">
        <color theme="4"/>
      </bottom>
      <diagonal/>
    </border>
    <border>
      <left style="medium">
        <color indexed="64"/>
      </left>
      <right/>
      <top/>
      <bottom style="medium">
        <color theme="4" tint="0.39997558519241921"/>
      </bottom>
      <diagonal/>
    </border>
    <border>
      <left/>
      <right style="medium">
        <color indexed="64"/>
      </right>
      <top/>
      <bottom style="medium">
        <color theme="4" tint="0.39997558519241921"/>
      </bottom>
      <diagonal/>
    </border>
    <border>
      <left/>
      <right style="medium">
        <color indexed="64"/>
      </right>
      <top style="thin">
        <color theme="4"/>
      </top>
      <bottom style="double">
        <color theme="4"/>
      </bottom>
      <diagonal/>
    </border>
  </borders>
  <cellStyleXfs count="7">
    <xf numFmtId="0" fontId="0" fillId="0" borderId="0"/>
    <xf numFmtId="0" fontId="1" fillId="0" borderId="1" applyNumberFormat="0" applyFill="0" applyAlignment="0" applyProtection="0"/>
    <xf numFmtId="0" fontId="2" fillId="0" borderId="7" applyNumberFormat="0" applyFill="0" applyAlignment="0" applyProtection="0"/>
    <xf numFmtId="0" fontId="3" fillId="2" borderId="8" applyNumberFormat="0" applyAlignment="0" applyProtection="0"/>
    <xf numFmtId="0" fontId="4" fillId="3" borderId="8" applyNumberFormat="0" applyAlignment="0" applyProtection="0"/>
    <xf numFmtId="0" fontId="5" fillId="0" borderId="9" applyNumberFormat="0" applyFill="0" applyAlignment="0" applyProtection="0"/>
    <xf numFmtId="0" fontId="6" fillId="0" borderId="10" applyNumberFormat="0" applyFill="0" applyAlignment="0" applyProtection="0"/>
  </cellStyleXfs>
  <cellXfs count="19">
    <xf numFmtId="0" fontId="0" fillId="0" borderId="0" xfId="0"/>
    <xf numFmtId="0" fontId="0" fillId="0" borderId="2" xfId="0" applyBorder="1"/>
    <xf numFmtId="0" fontId="0" fillId="0" borderId="0" xfId="0" applyBorder="1"/>
    <xf numFmtId="11" fontId="0" fillId="0" borderId="0" xfId="0" applyNumberForma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0" borderId="0" xfId="1" applyFill="1" applyBorder="1"/>
    <xf numFmtId="0" fontId="2" fillId="0" borderId="14" xfId="2" applyBorder="1"/>
    <xf numFmtId="0" fontId="2" fillId="0" borderId="7" xfId="2" applyBorder="1"/>
    <xf numFmtId="0" fontId="2" fillId="0" borderId="7" xfId="2" applyFill="1" applyBorder="1"/>
    <xf numFmtId="0" fontId="2" fillId="0" borderId="15" xfId="2" applyFill="1" applyBorder="1"/>
    <xf numFmtId="0" fontId="3" fillId="2" borderId="0" xfId="3" applyBorder="1"/>
    <xf numFmtId="0" fontId="5" fillId="0" borderId="0" xfId="5" applyBorder="1"/>
    <xf numFmtId="164" fontId="4" fillId="3" borderId="3" xfId="4" applyNumberFormat="1" applyBorder="1"/>
    <xf numFmtId="164" fontId="6" fillId="0" borderId="16" xfId="6" applyNumberFormat="1" applyBorder="1"/>
    <xf numFmtId="0" fontId="1" fillId="0" borderId="11" xfId="1" applyBorder="1" applyAlignment="1">
      <alignment horizontal="center"/>
    </xf>
    <xf numFmtId="0" fontId="1" fillId="0" borderId="12" xfId="1" applyBorder="1" applyAlignment="1">
      <alignment horizontal="center"/>
    </xf>
    <xf numFmtId="0" fontId="1" fillId="0" borderId="13" xfId="1" applyBorder="1" applyAlignment="1">
      <alignment horizontal="center"/>
    </xf>
  </cellXfs>
  <cellStyles count="7">
    <cellStyle name="Calculation" xfId="4" builtinId="22"/>
    <cellStyle name="Heading 1" xfId="1" builtinId="16"/>
    <cellStyle name="Heading 3" xfId="2" builtinId="18"/>
    <cellStyle name="Input" xfId="3" builtinId="20"/>
    <cellStyle name="Linked Cell" xfId="5" builtinId="24"/>
    <cellStyle name="Normal" xfId="0" builtinId="0"/>
    <cellStyle name="Total" xfId="6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blMeterName" displayName="tblMeterName" ref="B2:B268" totalsRowShown="0">
  <autoFilter ref="B2:B268"/>
  <sortState ref="B3:B268">
    <sortCondition ref="B1:B267"/>
  </sortState>
  <tableColumns count="1">
    <tableColumn id="1" name="MeterNa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MeterCategory" displayName="MeterCategory" ref="C2:C31" totalsRowShown="0">
  <autoFilter ref="C2:C31"/>
  <sortState ref="C3:C31">
    <sortCondition ref="C1:C30"/>
  </sortState>
  <tableColumns count="1">
    <tableColumn id="1" name="MeterCategor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MeterSubCategory" displayName="MeterSubCategory" ref="D2:F24" totalsRowShown="0">
  <autoFilter ref="D2:F24"/>
  <sortState ref="D3:F24">
    <sortCondition ref="E2:E24"/>
  </sortState>
  <tableColumns count="3">
    <tableColumn id="1" name="MeterSubCategory"/>
    <tableColumn id="2" name="Regions"/>
    <tableColumn id="3" name="R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L12"/>
  <sheetViews>
    <sheetView showGridLines="0" tabSelected="1" workbookViewId="0">
      <selection activeCell="C12" sqref="C12"/>
    </sheetView>
  </sheetViews>
  <sheetFormatPr defaultRowHeight="15" x14ac:dyDescent="0.25"/>
  <cols>
    <col min="2" max="2" width="36" customWidth="1"/>
    <col min="3" max="3" width="33.85546875" bestFit="1" customWidth="1"/>
    <col min="4" max="4" width="7.28515625" customWidth="1"/>
    <col min="5" max="5" width="37" customWidth="1"/>
    <col min="6" max="6" width="17.42578125" hidden="1" customWidth="1"/>
    <col min="7" max="7" width="15.85546875" bestFit="1" customWidth="1"/>
    <col min="8" max="8" width="8.7109375" bestFit="1" customWidth="1"/>
    <col min="9" max="9" width="22.140625" customWidth="1"/>
    <col min="10" max="10" width="26.85546875" bestFit="1" customWidth="1"/>
  </cols>
  <sheetData>
    <row r="1" spans="2:12" ht="15.75" thickBot="1" x14ac:dyDescent="0.3"/>
    <row r="2" spans="2:12" ht="20.25" thickBot="1" x14ac:dyDescent="0.35">
      <c r="B2" s="16" t="s">
        <v>359</v>
      </c>
      <c r="C2" s="17"/>
      <c r="D2" s="17"/>
      <c r="E2" s="17"/>
      <c r="F2" s="17"/>
      <c r="G2" s="17"/>
      <c r="H2" s="17"/>
      <c r="I2" s="17"/>
      <c r="J2" s="18"/>
    </row>
    <row r="3" spans="2:12" ht="21" thickTop="1" thickBot="1" x14ac:dyDescent="0.35">
      <c r="B3" s="8" t="s">
        <v>0</v>
      </c>
      <c r="C3" s="9" t="s">
        <v>362</v>
      </c>
      <c r="D3" s="10" t="s">
        <v>355</v>
      </c>
      <c r="E3" s="10" t="s">
        <v>360</v>
      </c>
      <c r="F3" s="9" t="s">
        <v>1</v>
      </c>
      <c r="G3" s="9" t="s">
        <v>2</v>
      </c>
      <c r="H3" s="10" t="s">
        <v>358</v>
      </c>
      <c r="I3" s="10" t="s">
        <v>357</v>
      </c>
      <c r="J3" s="11" t="s">
        <v>361</v>
      </c>
      <c r="L3" s="7"/>
    </row>
    <row r="4" spans="2:12" x14ac:dyDescent="0.25">
      <c r="B4" s="1" t="s">
        <v>6</v>
      </c>
      <c r="C4" s="2" t="s">
        <v>50</v>
      </c>
      <c r="D4" s="2" t="s">
        <v>9</v>
      </c>
      <c r="E4" s="2" t="s">
        <v>202</v>
      </c>
      <c r="F4" s="2" t="str">
        <f>IFERROR(VLOOKUP(E4, 'Azure Rate Card'!$A$2:$I$2000,5,FALSE), "" )</f>
        <v/>
      </c>
      <c r="G4" s="2" t="str">
        <f>IFERROR(VLOOKUP(E4, 'Azure Rate Card'!$A$2:$I$2000, 7,FALSE), "")</f>
        <v/>
      </c>
      <c r="H4" s="12">
        <v>4</v>
      </c>
      <c r="I4" s="13">
        <f>IFERROR(VLOOKUP(E4, 'Azure Rate Card'!$A$2:$I$2000,4,FALSE), )</f>
        <v>0</v>
      </c>
      <c r="J4" s="14">
        <f>ROUND(IF(ISNUMBER(I4),H4*I4*744,CalculateTieredRate(H4, I4)), 0)</f>
        <v>0</v>
      </c>
    </row>
    <row r="5" spans="2:12" x14ac:dyDescent="0.25">
      <c r="B5" s="1" t="s">
        <v>6</v>
      </c>
      <c r="C5" s="2" t="s">
        <v>294</v>
      </c>
      <c r="D5" s="2" t="s">
        <v>9</v>
      </c>
      <c r="E5" s="2" t="s">
        <v>295</v>
      </c>
      <c r="F5" s="2" t="str">
        <f>IFERROR(VLOOKUP(E5, 'Azure Rate Card'!$A$2:$I$2000,5,FALSE), "" )</f>
        <v/>
      </c>
      <c r="G5" s="2" t="str">
        <f>IFERROR(VLOOKUP(E5, 'Azure Rate Card'!$A$2:$I$2000, 7,FALSE), "")</f>
        <v/>
      </c>
      <c r="H5" s="12">
        <v>2</v>
      </c>
      <c r="I5" s="13">
        <f>IFERROR(VLOOKUP(E5, 'Azure Rate Card'!$A$2:$I$2000,4,FALSE), )</f>
        <v>0</v>
      </c>
      <c r="J5" s="14">
        <f>ROUND(IF(ISNUMBER(I5),H5*I5*744,CalculateTieredRate(H5, I5)), 0)</f>
        <v>0</v>
      </c>
    </row>
    <row r="6" spans="2:12" x14ac:dyDescent="0.25">
      <c r="B6" s="1" t="s">
        <v>81</v>
      </c>
      <c r="C6" s="2" t="s">
        <v>131</v>
      </c>
      <c r="D6" s="2" t="s">
        <v>60</v>
      </c>
      <c r="E6" s="2" t="s">
        <v>283</v>
      </c>
      <c r="F6" s="2" t="str">
        <f>IFERROR(VLOOKUP(E6, 'Azure Rate Card'!$A$2:$I$2000,5,FALSE), "" )</f>
        <v/>
      </c>
      <c r="G6" s="2" t="str">
        <f>IFERROR(VLOOKUP(E6, 'Azure Rate Card'!$A$2:$I$2000, 7,FALSE), "")</f>
        <v/>
      </c>
      <c r="H6" s="12">
        <v>800</v>
      </c>
      <c r="I6" s="13">
        <f>IFERROR(VLOOKUP(E6, 'Azure Rate Card'!$A$2:$I$2000,4,FALSE), )</f>
        <v>0</v>
      </c>
      <c r="J6" s="14">
        <f>ROUND(IF(ISNUMBER(I6),H6*I6,CalculateTieredRate(H6, I6)), 2)</f>
        <v>0</v>
      </c>
    </row>
    <row r="7" spans="2:12" x14ac:dyDescent="0.25">
      <c r="B7" s="1" t="s">
        <v>6</v>
      </c>
      <c r="C7" s="2" t="s">
        <v>48</v>
      </c>
      <c r="D7" s="2" t="s">
        <v>9</v>
      </c>
      <c r="E7" s="2" t="s">
        <v>49</v>
      </c>
      <c r="F7" s="2" t="str">
        <f>IFERROR(VLOOKUP(E7, 'Azure Rate Card'!$A$2:$I$2000,5,FALSE), "" )</f>
        <v/>
      </c>
      <c r="G7" s="2" t="str">
        <f>IFERROR(VLOOKUP(E7, 'Azure Rate Card'!$A$2:$I$2000, 7,FALSE), "")</f>
        <v/>
      </c>
      <c r="H7" s="12">
        <v>2</v>
      </c>
      <c r="I7" s="13">
        <f>IFERROR(VLOOKUP(E7, 'Azure Rate Card'!$A$2:$I$2000,4,FALSE), )</f>
        <v>0</v>
      </c>
      <c r="J7" s="14">
        <f>ROUND(IF(ISNUMBER(I7),H7*I7*744,CalculateTieredRate(H7, I7)), 0)</f>
        <v>0</v>
      </c>
    </row>
    <row r="8" spans="2:12" x14ac:dyDescent="0.25">
      <c r="B8" s="1" t="s">
        <v>168</v>
      </c>
      <c r="C8" s="2" t="s">
        <v>169</v>
      </c>
      <c r="D8" s="2" t="s">
        <v>60</v>
      </c>
      <c r="E8" s="2" t="s">
        <v>263</v>
      </c>
      <c r="F8" s="2" t="str">
        <f>IFERROR(VLOOKUP(E8, 'Azure Rate Card'!$A$2:$I$2000,5,FALSE), "" )</f>
        <v/>
      </c>
      <c r="G8" s="2" t="str">
        <f>IFERROR(VLOOKUP(E8, 'Azure Rate Card'!$A$2:$I$2000, 7,FALSE), "")</f>
        <v/>
      </c>
      <c r="H8" s="12">
        <v>500</v>
      </c>
      <c r="I8" s="13">
        <f>IFERROR(VLOOKUP(E8, 'Azure Rate Card'!$A$2:$I$2000,4,FALSE), )</f>
        <v>0</v>
      </c>
      <c r="J8" s="14">
        <f>ROUND(IF(ISNUMBER(I8),H8*I8,CalculateTieredRate(H8, I8)), 0)</f>
        <v>0</v>
      </c>
    </row>
    <row r="9" spans="2:12" x14ac:dyDescent="0.25">
      <c r="B9" s="1" t="s">
        <v>6</v>
      </c>
      <c r="C9" s="2" t="s">
        <v>35</v>
      </c>
      <c r="D9" s="2" t="s">
        <v>9</v>
      </c>
      <c r="E9" s="2" t="s">
        <v>36</v>
      </c>
      <c r="F9" s="2" t="str">
        <f>IFERROR(VLOOKUP(E9, 'Azure Rate Card'!$A$2:$I$2000,5,FALSE), "" )</f>
        <v/>
      </c>
      <c r="G9" s="2" t="str">
        <f>IFERROR(VLOOKUP(E9, 'Azure Rate Card'!$A$2:$I$2000, 7,FALSE), "")</f>
        <v/>
      </c>
      <c r="H9" s="12">
        <v>5</v>
      </c>
      <c r="I9" s="13">
        <f>IFERROR(VLOOKUP(E9, 'Azure Rate Card'!$A$2:$I$2000,4,FALSE), )</f>
        <v>0</v>
      </c>
      <c r="J9" s="14">
        <f>ROUND(IF(ISNUMBER(I9),H9*I9*744,CalculateTieredRate(H9, I9)), 0)</f>
        <v>0</v>
      </c>
    </row>
    <row r="10" spans="2:12" x14ac:dyDescent="0.25">
      <c r="B10" s="1" t="s">
        <v>55</v>
      </c>
      <c r="C10" s="2" t="s">
        <v>57</v>
      </c>
      <c r="D10" s="2" t="s">
        <v>9</v>
      </c>
      <c r="E10" s="2" t="s">
        <v>172</v>
      </c>
      <c r="F10" s="2" t="str">
        <f>IFERROR(VLOOKUP(E10, 'Azure Rate Card'!$A$2:$I$2000,5,FALSE), "" )</f>
        <v/>
      </c>
      <c r="G10" s="2" t="str">
        <f>IFERROR(VLOOKUP(E10, 'Azure Rate Card'!$A$2:$I$2000, 7,FALSE), "")</f>
        <v/>
      </c>
      <c r="H10" s="12">
        <v>1</v>
      </c>
      <c r="I10" s="13">
        <f>IFERROR(VLOOKUP(E10, 'Azure Rate Card'!$A$2:$I$2000,4,FALSE), )</f>
        <v>0</v>
      </c>
      <c r="J10" s="14">
        <f>ROUND(IF(ISNUMBER(I10),H10*I10*744,CalculateTieredRate(H10, I10)), 0)</f>
        <v>0</v>
      </c>
    </row>
    <row r="11" spans="2:12" ht="15.75" thickBot="1" x14ac:dyDescent="0.3">
      <c r="B11" s="1"/>
      <c r="C11" s="2"/>
      <c r="D11" s="2"/>
      <c r="E11" s="2"/>
      <c r="F11" s="2"/>
      <c r="G11" s="2"/>
      <c r="H11" s="2"/>
      <c r="I11" s="2"/>
      <c r="J11" s="15">
        <f>SUM(J4:J10)</f>
        <v>0</v>
      </c>
    </row>
    <row r="12" spans="2:12" ht="16.5" thickTop="1" thickBot="1" x14ac:dyDescent="0.3">
      <c r="B12" s="4"/>
      <c r="C12" s="5"/>
      <c r="D12" s="5"/>
      <c r="E12" s="5"/>
      <c r="F12" s="5"/>
      <c r="G12" s="5"/>
      <c r="H12" s="5"/>
      <c r="I12" s="5"/>
      <c r="J12" s="6"/>
    </row>
  </sheetData>
  <mergeCells count="1">
    <mergeCell ref="B2:J2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8:AA1830"/>
  <sheetViews>
    <sheetView workbookViewId="0">
      <selection activeCell="B9" sqref="B9"/>
    </sheetView>
  </sheetViews>
  <sheetFormatPr defaultRowHeight="15" x14ac:dyDescent="0.25"/>
  <cols>
    <col min="1" max="1" width="38.5703125" bestFit="1" customWidth="1"/>
    <col min="2" max="2" width="63" bestFit="1" customWidth="1"/>
    <col min="3" max="3" width="15.85546875" bestFit="1" customWidth="1"/>
    <col min="4" max="4" width="75.7109375" bestFit="1" customWidth="1"/>
    <col min="5" max="5" width="24.7109375" bestFit="1" customWidth="1"/>
    <col min="6" max="6" width="46.7109375" bestFit="1" customWidth="1"/>
    <col min="7" max="7" width="20.140625" bestFit="1" customWidth="1"/>
    <col min="8" max="8" width="19.85546875" bestFit="1" customWidth="1"/>
    <col min="9" max="9" width="16.5703125" bestFit="1" customWidth="1"/>
    <col min="10" max="10" width="18.85546875" bestFit="1" customWidth="1"/>
    <col min="27" max="27" width="38.5703125" bestFit="1" customWidth="1"/>
    <col min="28" max="28" width="63" bestFit="1" customWidth="1"/>
    <col min="29" max="29" width="15.85546875" bestFit="1" customWidth="1"/>
    <col min="30" max="30" width="75.7109375" bestFit="1" customWidth="1"/>
    <col min="31" max="31" width="24.7109375" bestFit="1" customWidth="1"/>
    <col min="32" max="32" width="46.7109375" bestFit="1" customWidth="1"/>
    <col min="33" max="33" width="20.140625" bestFit="1" customWidth="1"/>
    <col min="34" max="34" width="19.85546875" bestFit="1" customWidth="1"/>
    <col min="35" max="35" width="16.5703125" bestFit="1" customWidth="1"/>
  </cols>
  <sheetData>
    <row r="28" spans="9:9" x14ac:dyDescent="0.25">
      <c r="I28" s="3"/>
    </row>
    <row r="37" spans="1:27" x14ac:dyDescent="0.25">
      <c r="A37" s="3"/>
      <c r="AA37" s="3"/>
    </row>
    <row r="64" spans="9:9" x14ac:dyDescent="0.25">
      <c r="I64" s="3"/>
    </row>
    <row r="68" spans="1:27" x14ac:dyDescent="0.25">
      <c r="A68" s="3"/>
      <c r="AA68" s="3"/>
    </row>
    <row r="69" spans="1:27" x14ac:dyDescent="0.25">
      <c r="A69" s="3"/>
    </row>
    <row r="156" spans="9:9" x14ac:dyDescent="0.25">
      <c r="I156" s="3"/>
    </row>
    <row r="175" spans="9:9" x14ac:dyDescent="0.25">
      <c r="I175" s="3"/>
    </row>
    <row r="216" spans="1:27" x14ac:dyDescent="0.25">
      <c r="A216" s="3"/>
      <c r="AA216" s="3"/>
    </row>
    <row r="267" spans="9:9" x14ac:dyDescent="0.25">
      <c r="I267" s="3"/>
    </row>
    <row r="277" spans="1:27" x14ac:dyDescent="0.25">
      <c r="A277" s="3"/>
    </row>
    <row r="278" spans="1:27" x14ac:dyDescent="0.25">
      <c r="A278" s="3"/>
      <c r="AA278" s="3"/>
    </row>
    <row r="299" spans="9:9" x14ac:dyDescent="0.25">
      <c r="I299" s="3"/>
    </row>
    <row r="324" spans="1:27" x14ac:dyDescent="0.25">
      <c r="A324" s="3"/>
      <c r="AA324" s="3"/>
    </row>
    <row r="326" spans="1:27" x14ac:dyDescent="0.25">
      <c r="A326" s="3"/>
    </row>
    <row r="327" spans="1:27" x14ac:dyDescent="0.25">
      <c r="A327" s="3"/>
      <c r="AA327" s="3"/>
    </row>
    <row r="346" spans="9:9" x14ac:dyDescent="0.25">
      <c r="I346" s="3"/>
    </row>
    <row r="397" spans="9:9" x14ac:dyDescent="0.25">
      <c r="I397" s="3"/>
    </row>
    <row r="417" spans="9:9" x14ac:dyDescent="0.25">
      <c r="I417" s="3"/>
    </row>
    <row r="435" spans="1:27" x14ac:dyDescent="0.25">
      <c r="I435" s="3"/>
    </row>
    <row r="444" spans="1:27" x14ac:dyDescent="0.25">
      <c r="A444" s="3"/>
      <c r="AA444" s="3"/>
    </row>
    <row r="478" spans="1:27" x14ac:dyDescent="0.25">
      <c r="A478" s="3"/>
      <c r="AA478" s="3"/>
    </row>
    <row r="479" spans="1:27" x14ac:dyDescent="0.25">
      <c r="A479" s="3"/>
    </row>
    <row r="492" spans="9:9" x14ac:dyDescent="0.25">
      <c r="I492" s="3"/>
    </row>
    <row r="526" spans="1:27" x14ac:dyDescent="0.25">
      <c r="A526" s="3"/>
      <c r="AA526" s="3"/>
    </row>
    <row r="547" spans="9:9" x14ac:dyDescent="0.25">
      <c r="I547" s="3"/>
    </row>
    <row r="639" spans="9:9" x14ac:dyDescent="0.25">
      <c r="I639" s="3"/>
    </row>
    <row r="645" spans="1:27" x14ac:dyDescent="0.25">
      <c r="A645" s="3"/>
      <c r="AA645" s="3"/>
    </row>
    <row r="663" spans="1:27" x14ac:dyDescent="0.25">
      <c r="A663" s="3"/>
    </row>
    <row r="664" spans="1:27" x14ac:dyDescent="0.25">
      <c r="A664" s="3"/>
      <c r="AA664" s="3"/>
    </row>
    <row r="682" spans="1:27" x14ac:dyDescent="0.25">
      <c r="A682" s="3"/>
      <c r="AA682" s="3"/>
    </row>
    <row r="767" spans="1:27" x14ac:dyDescent="0.25">
      <c r="A767" s="3"/>
      <c r="AA767" s="3"/>
    </row>
    <row r="788" spans="1:27" x14ac:dyDescent="0.25">
      <c r="A788" s="3"/>
      <c r="AA788" s="3"/>
    </row>
    <row r="847" spans="1:27" x14ac:dyDescent="0.25">
      <c r="A847" s="3"/>
      <c r="AA847" s="3"/>
    </row>
    <row r="879" spans="1:27" x14ac:dyDescent="0.25">
      <c r="A879" s="3"/>
      <c r="AA879" s="3"/>
    </row>
    <row r="900" spans="1:27" x14ac:dyDescent="0.25">
      <c r="A900" s="3"/>
      <c r="AA900" s="3"/>
    </row>
    <row r="942" spans="1:27" x14ac:dyDescent="0.25">
      <c r="A942" s="3"/>
    </row>
    <row r="943" spans="1:27" x14ac:dyDescent="0.25">
      <c r="A943" s="3"/>
      <c r="AA943" s="3"/>
    </row>
    <row r="974" spans="1:27" x14ac:dyDescent="0.25">
      <c r="A974" s="3"/>
      <c r="AA974" s="3"/>
    </row>
    <row r="1016" spans="9:9" x14ac:dyDescent="0.25">
      <c r="I1016" s="3"/>
    </row>
    <row r="1026" spans="1:27" x14ac:dyDescent="0.25">
      <c r="A1026" s="3"/>
    </row>
    <row r="1027" spans="1:27" x14ac:dyDescent="0.25">
      <c r="A1027" s="3"/>
      <c r="AA1027" s="3"/>
    </row>
    <row r="1028" spans="1:27" x14ac:dyDescent="0.25">
      <c r="A1028" s="3"/>
      <c r="AA1028" s="3"/>
    </row>
    <row r="1039" spans="1:27" x14ac:dyDescent="0.25">
      <c r="A1039" s="3"/>
    </row>
    <row r="1040" spans="1:27" x14ac:dyDescent="0.25">
      <c r="A1040" s="3"/>
      <c r="AA1040" s="3"/>
    </row>
    <row r="1051" spans="1:27" x14ac:dyDescent="0.25">
      <c r="A1051" s="3"/>
      <c r="AA1051" s="3"/>
    </row>
    <row r="1058" spans="1:27" x14ac:dyDescent="0.25">
      <c r="A1058" s="3"/>
      <c r="AA1058" s="3"/>
    </row>
    <row r="1138" spans="9:9" x14ac:dyDescent="0.25">
      <c r="I1138" s="3"/>
    </row>
    <row r="1164" spans="1:27" x14ac:dyDescent="0.25">
      <c r="A1164" s="3"/>
      <c r="AA1164" s="3"/>
    </row>
    <row r="1170" spans="1:27" x14ac:dyDescent="0.25">
      <c r="A1170" s="3"/>
      <c r="AA1170" s="3"/>
    </row>
    <row r="1184" spans="1:27" x14ac:dyDescent="0.25">
      <c r="A1184" s="3"/>
      <c r="AA1184" s="3"/>
    </row>
    <row r="1191" spans="9:9" x14ac:dyDescent="0.25">
      <c r="I1191" s="3"/>
    </row>
    <row r="1229" spans="9:9" x14ac:dyDescent="0.25">
      <c r="I1229" s="3"/>
    </row>
    <row r="1237" spans="9:9" x14ac:dyDescent="0.25">
      <c r="I1237" s="3"/>
    </row>
    <row r="1267" spans="1:27" x14ac:dyDescent="0.25">
      <c r="A1267" s="3"/>
      <c r="AA1267" s="3"/>
    </row>
    <row r="1277" spans="1:27" x14ac:dyDescent="0.25">
      <c r="A1277" s="3"/>
      <c r="AA1277" s="3"/>
    </row>
    <row r="1293" spans="9:9" x14ac:dyDescent="0.25">
      <c r="I1293" s="3"/>
    </row>
    <row r="1298" spans="9:9" x14ac:dyDescent="0.25">
      <c r="I1298" s="3"/>
    </row>
    <row r="1324" spans="9:9" x14ac:dyDescent="0.25">
      <c r="I1324" s="3"/>
    </row>
    <row r="1345" spans="1:27" x14ac:dyDescent="0.25">
      <c r="A1345" s="3"/>
      <c r="AA1345" s="3"/>
    </row>
    <row r="1346" spans="1:27" x14ac:dyDescent="0.25">
      <c r="A1346" s="3"/>
    </row>
    <row r="1360" spans="1:27" x14ac:dyDescent="0.25">
      <c r="A1360" s="3"/>
    </row>
    <row r="1361" spans="1:27" x14ac:dyDescent="0.25">
      <c r="A1361" s="3"/>
      <c r="AA1361" s="3"/>
    </row>
    <row r="1393" spans="1:27" x14ac:dyDescent="0.25">
      <c r="A1393" s="3"/>
      <c r="AA1393" s="3"/>
    </row>
    <row r="1417" spans="9:9" x14ac:dyDescent="0.25">
      <c r="I1417" s="3"/>
    </row>
    <row r="1436" spans="1:27" x14ac:dyDescent="0.25">
      <c r="A1436" s="3"/>
    </row>
    <row r="1437" spans="1:27" x14ac:dyDescent="0.25">
      <c r="A1437" s="3"/>
      <c r="AA1437" s="3"/>
    </row>
    <row r="1497" spans="9:9" x14ac:dyDescent="0.25">
      <c r="I1497" s="3"/>
    </row>
    <row r="1511" spans="9:9" x14ac:dyDescent="0.25">
      <c r="I1511" s="3"/>
    </row>
    <row r="1561" spans="9:9" x14ac:dyDescent="0.25">
      <c r="I1561" s="3"/>
    </row>
    <row r="1599" spans="1:27" x14ac:dyDescent="0.25">
      <c r="A1599" s="3"/>
      <c r="AA1599" s="3"/>
    </row>
    <row r="1641" spans="1:27" x14ac:dyDescent="0.25">
      <c r="A1641" s="3"/>
      <c r="AA1641" s="3"/>
    </row>
    <row r="1647" spans="1:27" x14ac:dyDescent="0.25">
      <c r="A1647" s="3"/>
      <c r="AA1647" s="3"/>
    </row>
    <row r="1648" spans="1:27" x14ac:dyDescent="0.25">
      <c r="I1648" s="3"/>
    </row>
    <row r="1651" spans="9:9" x14ac:dyDescent="0.25">
      <c r="I1651" s="3"/>
    </row>
    <row r="1698" spans="9:9" x14ac:dyDescent="0.25">
      <c r="I1698" s="3"/>
    </row>
    <row r="1722" spans="9:9" x14ac:dyDescent="0.25">
      <c r="I1722" s="3"/>
    </row>
    <row r="1767" spans="9:9" x14ac:dyDescent="0.25">
      <c r="I1767" s="3"/>
    </row>
    <row r="1813" spans="9:9" x14ac:dyDescent="0.25">
      <c r="I1813" s="3"/>
    </row>
    <row r="1827" spans="1:27" x14ac:dyDescent="0.25">
      <c r="A1827" s="3"/>
    </row>
    <row r="1828" spans="1:27" x14ac:dyDescent="0.25">
      <c r="A1828" s="3"/>
      <c r="AA1828" s="3"/>
    </row>
    <row r="1830" spans="1:27" x14ac:dyDescent="0.25">
      <c r="I1830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268"/>
  <sheetViews>
    <sheetView workbookViewId="0">
      <selection activeCell="D3" sqref="D3"/>
    </sheetView>
  </sheetViews>
  <sheetFormatPr defaultRowHeight="15" x14ac:dyDescent="0.25"/>
  <cols>
    <col min="2" max="2" width="46.7109375" bestFit="1" customWidth="1"/>
    <col min="3" max="3" width="24.7109375" bestFit="1" customWidth="1"/>
    <col min="4" max="4" width="63" bestFit="1" customWidth="1"/>
    <col min="5" max="5" width="15.140625" customWidth="1"/>
  </cols>
  <sheetData>
    <row r="2" spans="2:6" x14ac:dyDescent="0.25">
      <c r="B2" t="s">
        <v>3</v>
      </c>
      <c r="C2" t="s">
        <v>4</v>
      </c>
      <c r="D2" t="s">
        <v>5</v>
      </c>
      <c r="E2" t="s">
        <v>356</v>
      </c>
      <c r="F2" t="s">
        <v>357</v>
      </c>
    </row>
    <row r="3" spans="2:6" x14ac:dyDescent="0.25">
      <c r="B3" t="s">
        <v>155</v>
      </c>
      <c r="C3" t="s">
        <v>22</v>
      </c>
      <c r="D3" t="s">
        <v>96</v>
      </c>
      <c r="E3" t="s">
        <v>52</v>
      </c>
    </row>
    <row r="4" spans="2:6" x14ac:dyDescent="0.25">
      <c r="B4" t="s">
        <v>203</v>
      </c>
      <c r="C4" t="s">
        <v>40</v>
      </c>
      <c r="D4" t="s">
        <v>32</v>
      </c>
      <c r="E4" t="s">
        <v>43</v>
      </c>
    </row>
    <row r="5" spans="2:6" x14ac:dyDescent="0.25">
      <c r="B5" t="s">
        <v>296</v>
      </c>
      <c r="C5" t="s">
        <v>88</v>
      </c>
      <c r="D5" t="s">
        <v>241</v>
      </c>
      <c r="E5" t="s">
        <v>38</v>
      </c>
    </row>
    <row r="6" spans="2:6" x14ac:dyDescent="0.25">
      <c r="B6" t="s">
        <v>233</v>
      </c>
      <c r="C6" t="s">
        <v>109</v>
      </c>
      <c r="D6" t="s">
        <v>258</v>
      </c>
      <c r="E6" t="s">
        <v>18</v>
      </c>
    </row>
    <row r="7" spans="2:6" x14ac:dyDescent="0.25">
      <c r="B7" t="s">
        <v>217</v>
      </c>
      <c r="C7" t="s">
        <v>26</v>
      </c>
      <c r="D7" t="s">
        <v>221</v>
      </c>
      <c r="E7" t="s">
        <v>24</v>
      </c>
    </row>
    <row r="8" spans="2:6" x14ac:dyDescent="0.25">
      <c r="B8" t="s">
        <v>89</v>
      </c>
      <c r="C8" t="s">
        <v>117</v>
      </c>
      <c r="D8" t="s">
        <v>177</v>
      </c>
      <c r="E8" t="s">
        <v>65</v>
      </c>
    </row>
    <row r="9" spans="2:6" x14ac:dyDescent="0.25">
      <c r="B9" t="s">
        <v>340</v>
      </c>
      <c r="C9" t="s">
        <v>142</v>
      </c>
      <c r="D9" t="s">
        <v>194</v>
      </c>
      <c r="E9" t="s">
        <v>11</v>
      </c>
    </row>
    <row r="10" spans="2:6" x14ac:dyDescent="0.25">
      <c r="B10" t="s">
        <v>347</v>
      </c>
      <c r="C10" t="s">
        <v>7</v>
      </c>
      <c r="E10" t="s">
        <v>342</v>
      </c>
    </row>
    <row r="11" spans="2:6" x14ac:dyDescent="0.25">
      <c r="B11" t="s">
        <v>224</v>
      </c>
      <c r="C11" t="s">
        <v>139</v>
      </c>
      <c r="E11" t="s">
        <v>103</v>
      </c>
    </row>
    <row r="12" spans="2:6" x14ac:dyDescent="0.25">
      <c r="B12" t="s">
        <v>75</v>
      </c>
      <c r="C12" t="s">
        <v>13</v>
      </c>
      <c r="D12" t="s">
        <v>234</v>
      </c>
      <c r="E12" t="s">
        <v>34</v>
      </c>
    </row>
    <row r="13" spans="2:6" x14ac:dyDescent="0.25">
      <c r="B13" t="s">
        <v>250</v>
      </c>
      <c r="C13" t="s">
        <v>179</v>
      </c>
      <c r="D13" t="s">
        <v>8</v>
      </c>
      <c r="E13" t="s">
        <v>41</v>
      </c>
    </row>
    <row r="14" spans="2:6" x14ac:dyDescent="0.25">
      <c r="B14" t="s">
        <v>242</v>
      </c>
      <c r="C14" t="s">
        <v>79</v>
      </c>
      <c r="D14" t="s">
        <v>84</v>
      </c>
      <c r="E14" t="s">
        <v>69</v>
      </c>
    </row>
    <row r="15" spans="2:6" x14ac:dyDescent="0.25">
      <c r="B15" t="s">
        <v>323</v>
      </c>
      <c r="C15" t="s">
        <v>54</v>
      </c>
      <c r="D15" t="s">
        <v>51</v>
      </c>
      <c r="E15" t="s">
        <v>29</v>
      </c>
    </row>
    <row r="16" spans="2:6" x14ac:dyDescent="0.25">
      <c r="B16" t="s">
        <v>55</v>
      </c>
      <c r="C16" t="s">
        <v>83</v>
      </c>
      <c r="D16" t="s">
        <v>181</v>
      </c>
      <c r="E16" t="s">
        <v>9</v>
      </c>
    </row>
    <row r="17" spans="2:5" x14ac:dyDescent="0.25">
      <c r="B17" t="s">
        <v>223</v>
      </c>
      <c r="C17" t="s">
        <v>119</v>
      </c>
      <c r="D17" t="s">
        <v>346</v>
      </c>
      <c r="E17" t="s">
        <v>23</v>
      </c>
    </row>
    <row r="18" spans="2:5" x14ac:dyDescent="0.25">
      <c r="B18" t="s">
        <v>268</v>
      </c>
      <c r="C18" t="s">
        <v>56</v>
      </c>
      <c r="D18" t="s">
        <v>42</v>
      </c>
      <c r="E18" t="s">
        <v>16</v>
      </c>
    </row>
    <row r="19" spans="2:5" x14ac:dyDescent="0.25">
      <c r="B19" t="s">
        <v>136</v>
      </c>
      <c r="C19" t="s">
        <v>257</v>
      </c>
      <c r="D19" t="s">
        <v>112</v>
      </c>
      <c r="E19" t="s">
        <v>28</v>
      </c>
    </row>
    <row r="20" spans="2:5" x14ac:dyDescent="0.25">
      <c r="B20" t="s">
        <v>256</v>
      </c>
      <c r="C20" t="s">
        <v>186</v>
      </c>
      <c r="D20" t="s">
        <v>298</v>
      </c>
      <c r="E20" t="s">
        <v>20</v>
      </c>
    </row>
    <row r="21" spans="2:5" x14ac:dyDescent="0.25">
      <c r="B21" t="s">
        <v>274</v>
      </c>
      <c r="C21" t="s">
        <v>147</v>
      </c>
      <c r="D21" t="s">
        <v>176</v>
      </c>
      <c r="E21" t="s">
        <v>60</v>
      </c>
    </row>
    <row r="22" spans="2:5" x14ac:dyDescent="0.25">
      <c r="B22" t="s">
        <v>272</v>
      </c>
      <c r="C22" t="s">
        <v>106</v>
      </c>
      <c r="D22" t="s">
        <v>50</v>
      </c>
      <c r="E22" t="s">
        <v>100</v>
      </c>
    </row>
    <row r="23" spans="2:5" x14ac:dyDescent="0.25">
      <c r="B23" t="s">
        <v>239</v>
      </c>
      <c r="C23" t="s">
        <v>129</v>
      </c>
      <c r="D23" t="s">
        <v>282</v>
      </c>
      <c r="E23" t="s">
        <v>93</v>
      </c>
    </row>
    <row r="24" spans="2:5" x14ac:dyDescent="0.25">
      <c r="B24" t="s">
        <v>78</v>
      </c>
      <c r="C24" t="s">
        <v>212</v>
      </c>
      <c r="D24" t="s">
        <v>153</v>
      </c>
    </row>
    <row r="25" spans="2:5" x14ac:dyDescent="0.25">
      <c r="B25" t="s">
        <v>183</v>
      </c>
      <c r="C25" t="s">
        <v>228</v>
      </c>
    </row>
    <row r="26" spans="2:5" x14ac:dyDescent="0.25">
      <c r="B26" t="s">
        <v>336</v>
      </c>
      <c r="C26" t="s">
        <v>15</v>
      </c>
    </row>
    <row r="27" spans="2:5" x14ac:dyDescent="0.25">
      <c r="B27" t="s">
        <v>271</v>
      </c>
      <c r="C27" t="s">
        <v>10</v>
      </c>
    </row>
    <row r="28" spans="2:5" x14ac:dyDescent="0.25">
      <c r="B28" t="s">
        <v>350</v>
      </c>
      <c r="C28" t="s">
        <v>45</v>
      </c>
    </row>
    <row r="29" spans="2:5" x14ac:dyDescent="0.25">
      <c r="B29" t="s">
        <v>312</v>
      </c>
      <c r="C29" t="s">
        <v>73</v>
      </c>
    </row>
    <row r="30" spans="2:5" x14ac:dyDescent="0.25">
      <c r="B30" t="s">
        <v>266</v>
      </c>
      <c r="C30" t="s">
        <v>31</v>
      </c>
    </row>
    <row r="31" spans="2:5" x14ac:dyDescent="0.25">
      <c r="B31" t="s">
        <v>156</v>
      </c>
      <c r="C31" t="s">
        <v>160</v>
      </c>
    </row>
    <row r="32" spans="2:5" x14ac:dyDescent="0.25">
      <c r="B32" t="s">
        <v>237</v>
      </c>
    </row>
    <row r="33" spans="2:2" x14ac:dyDescent="0.25">
      <c r="B33" t="s">
        <v>200</v>
      </c>
    </row>
    <row r="34" spans="2:2" x14ac:dyDescent="0.25">
      <c r="B34" t="s">
        <v>171</v>
      </c>
    </row>
    <row r="35" spans="2:2" x14ac:dyDescent="0.25">
      <c r="B35" t="s">
        <v>308</v>
      </c>
    </row>
    <row r="36" spans="2:2" x14ac:dyDescent="0.25">
      <c r="B36" t="s">
        <v>332</v>
      </c>
    </row>
    <row r="37" spans="2:2" x14ac:dyDescent="0.25">
      <c r="B37" t="s">
        <v>326</v>
      </c>
    </row>
    <row r="38" spans="2:2" x14ac:dyDescent="0.25">
      <c r="B38" t="s">
        <v>85</v>
      </c>
    </row>
    <row r="39" spans="2:2" x14ac:dyDescent="0.25">
      <c r="B39" t="s">
        <v>209</v>
      </c>
    </row>
    <row r="40" spans="2:2" x14ac:dyDescent="0.25">
      <c r="B40" t="s">
        <v>243</v>
      </c>
    </row>
    <row r="41" spans="2:2" x14ac:dyDescent="0.25">
      <c r="B41" t="s">
        <v>351</v>
      </c>
    </row>
    <row r="42" spans="2:2" x14ac:dyDescent="0.25">
      <c r="B42" t="s">
        <v>152</v>
      </c>
    </row>
    <row r="43" spans="2:2" x14ac:dyDescent="0.25">
      <c r="B43" t="s">
        <v>164</v>
      </c>
    </row>
    <row r="44" spans="2:2" x14ac:dyDescent="0.25">
      <c r="B44" t="s">
        <v>44</v>
      </c>
    </row>
    <row r="45" spans="2:2" x14ac:dyDescent="0.25">
      <c r="B45" t="s">
        <v>135</v>
      </c>
    </row>
    <row r="46" spans="2:2" x14ac:dyDescent="0.25">
      <c r="B46" t="s">
        <v>354</v>
      </c>
    </row>
    <row r="47" spans="2:2" x14ac:dyDescent="0.25">
      <c r="B47" t="s">
        <v>309</v>
      </c>
    </row>
    <row r="48" spans="2:2" x14ac:dyDescent="0.25">
      <c r="B48" t="s">
        <v>6</v>
      </c>
    </row>
    <row r="49" spans="2:2" x14ac:dyDescent="0.25">
      <c r="B49" t="s">
        <v>319</v>
      </c>
    </row>
    <row r="50" spans="2:2" x14ac:dyDescent="0.25">
      <c r="B50" t="s">
        <v>61</v>
      </c>
    </row>
    <row r="51" spans="2:2" x14ac:dyDescent="0.25">
      <c r="B51" t="s">
        <v>292</v>
      </c>
    </row>
    <row r="52" spans="2:2" x14ac:dyDescent="0.25">
      <c r="B52" t="s">
        <v>262</v>
      </c>
    </row>
    <row r="53" spans="2:2" x14ac:dyDescent="0.25">
      <c r="B53" t="s">
        <v>195</v>
      </c>
    </row>
    <row r="54" spans="2:2" x14ac:dyDescent="0.25">
      <c r="B54" t="s">
        <v>267</v>
      </c>
    </row>
    <row r="55" spans="2:2" x14ac:dyDescent="0.25">
      <c r="B55" t="s">
        <v>259</v>
      </c>
    </row>
    <row r="56" spans="2:2" x14ac:dyDescent="0.25">
      <c r="B56" t="s">
        <v>97</v>
      </c>
    </row>
    <row r="57" spans="2:2" x14ac:dyDescent="0.25">
      <c r="B57" t="s">
        <v>199</v>
      </c>
    </row>
    <row r="58" spans="2:2" x14ac:dyDescent="0.25">
      <c r="B58" t="s">
        <v>180</v>
      </c>
    </row>
    <row r="59" spans="2:2" x14ac:dyDescent="0.25">
      <c r="B59" t="s">
        <v>114</v>
      </c>
    </row>
    <row r="60" spans="2:2" x14ac:dyDescent="0.25">
      <c r="B60" t="s">
        <v>265</v>
      </c>
    </row>
    <row r="61" spans="2:2" x14ac:dyDescent="0.25">
      <c r="B61" t="s">
        <v>67</v>
      </c>
    </row>
    <row r="62" spans="2:2" x14ac:dyDescent="0.25">
      <c r="B62" t="s">
        <v>154</v>
      </c>
    </row>
    <row r="63" spans="2:2" x14ac:dyDescent="0.25">
      <c r="B63" t="s">
        <v>113</v>
      </c>
    </row>
    <row r="64" spans="2:2" x14ac:dyDescent="0.25">
      <c r="B64" t="s">
        <v>193</v>
      </c>
    </row>
    <row r="65" spans="2:2" x14ac:dyDescent="0.25">
      <c r="B65" t="s">
        <v>167</v>
      </c>
    </row>
    <row r="66" spans="2:2" x14ac:dyDescent="0.25">
      <c r="B66" t="s">
        <v>173</v>
      </c>
    </row>
    <row r="67" spans="2:2" x14ac:dyDescent="0.25">
      <c r="B67" t="s">
        <v>137</v>
      </c>
    </row>
    <row r="68" spans="2:2" x14ac:dyDescent="0.25">
      <c r="B68" t="s">
        <v>138</v>
      </c>
    </row>
    <row r="69" spans="2:2" x14ac:dyDescent="0.25">
      <c r="B69" t="s">
        <v>273</v>
      </c>
    </row>
    <row r="70" spans="2:2" x14ac:dyDescent="0.25">
      <c r="B70" t="s">
        <v>107</v>
      </c>
    </row>
    <row r="71" spans="2:2" x14ac:dyDescent="0.25">
      <c r="B71" t="s">
        <v>201</v>
      </c>
    </row>
    <row r="72" spans="2:2" x14ac:dyDescent="0.25">
      <c r="B72" t="s">
        <v>182</v>
      </c>
    </row>
    <row r="73" spans="2:2" x14ac:dyDescent="0.25">
      <c r="B73" t="s">
        <v>27</v>
      </c>
    </row>
    <row r="74" spans="2:2" x14ac:dyDescent="0.25">
      <c r="B74" t="s">
        <v>315</v>
      </c>
    </row>
    <row r="75" spans="2:2" x14ac:dyDescent="0.25">
      <c r="B75" t="s">
        <v>344</v>
      </c>
    </row>
    <row r="76" spans="2:2" x14ac:dyDescent="0.25">
      <c r="B76" t="s">
        <v>178</v>
      </c>
    </row>
    <row r="77" spans="2:2" x14ac:dyDescent="0.25">
      <c r="B77" t="s">
        <v>236</v>
      </c>
    </row>
    <row r="78" spans="2:2" x14ac:dyDescent="0.25">
      <c r="B78" t="s">
        <v>150</v>
      </c>
    </row>
    <row r="79" spans="2:2" x14ac:dyDescent="0.25">
      <c r="B79" t="s">
        <v>345</v>
      </c>
    </row>
    <row r="80" spans="2:2" x14ac:dyDescent="0.25">
      <c r="B80" t="s">
        <v>327</v>
      </c>
    </row>
    <row r="81" spans="2:2" x14ac:dyDescent="0.25">
      <c r="B81" t="s">
        <v>68</v>
      </c>
    </row>
    <row r="82" spans="2:2" x14ac:dyDescent="0.25">
      <c r="B82" t="s">
        <v>329</v>
      </c>
    </row>
    <row r="83" spans="2:2" x14ac:dyDescent="0.25">
      <c r="B83" t="s">
        <v>244</v>
      </c>
    </row>
    <row r="84" spans="2:2" x14ac:dyDescent="0.25">
      <c r="B84" t="s">
        <v>118</v>
      </c>
    </row>
    <row r="85" spans="2:2" x14ac:dyDescent="0.25">
      <c r="B85" t="s">
        <v>206</v>
      </c>
    </row>
    <row r="86" spans="2:2" x14ac:dyDescent="0.25">
      <c r="B86" t="s">
        <v>95</v>
      </c>
    </row>
    <row r="87" spans="2:2" x14ac:dyDescent="0.25">
      <c r="B87" t="s">
        <v>126</v>
      </c>
    </row>
    <row r="88" spans="2:2" x14ac:dyDescent="0.25">
      <c r="B88" t="s">
        <v>87</v>
      </c>
    </row>
    <row r="89" spans="2:2" x14ac:dyDescent="0.25">
      <c r="B89" t="s">
        <v>94</v>
      </c>
    </row>
    <row r="90" spans="2:2" x14ac:dyDescent="0.25">
      <c r="B90" t="s">
        <v>187</v>
      </c>
    </row>
    <row r="91" spans="2:2" x14ac:dyDescent="0.25">
      <c r="B91" t="s">
        <v>215</v>
      </c>
    </row>
    <row r="92" spans="2:2" x14ac:dyDescent="0.25">
      <c r="B92" t="s">
        <v>124</v>
      </c>
    </row>
    <row r="93" spans="2:2" x14ac:dyDescent="0.25">
      <c r="B93" t="s">
        <v>149</v>
      </c>
    </row>
    <row r="94" spans="2:2" x14ac:dyDescent="0.25">
      <c r="B94" t="s">
        <v>222</v>
      </c>
    </row>
    <row r="95" spans="2:2" x14ac:dyDescent="0.25">
      <c r="B95" t="s">
        <v>128</v>
      </c>
    </row>
    <row r="96" spans="2:2" x14ac:dyDescent="0.25">
      <c r="B96" t="s">
        <v>227</v>
      </c>
    </row>
    <row r="97" spans="2:2" x14ac:dyDescent="0.25">
      <c r="B97" t="s">
        <v>168</v>
      </c>
    </row>
    <row r="98" spans="2:2" x14ac:dyDescent="0.25">
      <c r="B98" t="s">
        <v>245</v>
      </c>
    </row>
    <row r="99" spans="2:2" x14ac:dyDescent="0.25">
      <c r="B99" t="s">
        <v>311</v>
      </c>
    </row>
    <row r="100" spans="2:2" x14ac:dyDescent="0.25">
      <c r="B100" t="s">
        <v>98</v>
      </c>
    </row>
    <row r="101" spans="2:2" x14ac:dyDescent="0.25">
      <c r="B101" t="s">
        <v>303</v>
      </c>
    </row>
    <row r="102" spans="2:2" x14ac:dyDescent="0.25">
      <c r="B102" t="s">
        <v>310</v>
      </c>
    </row>
    <row r="103" spans="2:2" x14ac:dyDescent="0.25">
      <c r="B103" t="s">
        <v>82</v>
      </c>
    </row>
    <row r="104" spans="2:2" x14ac:dyDescent="0.25">
      <c r="B104" t="s">
        <v>170</v>
      </c>
    </row>
    <row r="105" spans="2:2" x14ac:dyDescent="0.25">
      <c r="B105" t="s">
        <v>216</v>
      </c>
    </row>
    <row r="106" spans="2:2" x14ac:dyDescent="0.25">
      <c r="B106" t="s">
        <v>317</v>
      </c>
    </row>
    <row r="107" spans="2:2" x14ac:dyDescent="0.25">
      <c r="B107" t="s">
        <v>339</v>
      </c>
    </row>
    <row r="108" spans="2:2" x14ac:dyDescent="0.25">
      <c r="B108" t="s">
        <v>25</v>
      </c>
    </row>
    <row r="109" spans="2:2" x14ac:dyDescent="0.25">
      <c r="B109" t="s">
        <v>108</v>
      </c>
    </row>
    <row r="110" spans="2:2" x14ac:dyDescent="0.25">
      <c r="B110" t="s">
        <v>302</v>
      </c>
    </row>
    <row r="111" spans="2:2" x14ac:dyDescent="0.25">
      <c r="B111" t="s">
        <v>324</v>
      </c>
    </row>
    <row r="112" spans="2:2" x14ac:dyDescent="0.25">
      <c r="B112" t="s">
        <v>251</v>
      </c>
    </row>
    <row r="113" spans="2:2" x14ac:dyDescent="0.25">
      <c r="B113" t="s">
        <v>63</v>
      </c>
    </row>
    <row r="114" spans="2:2" x14ac:dyDescent="0.25">
      <c r="B114" t="s">
        <v>191</v>
      </c>
    </row>
    <row r="115" spans="2:2" x14ac:dyDescent="0.25">
      <c r="B115" t="s">
        <v>190</v>
      </c>
    </row>
    <row r="116" spans="2:2" x14ac:dyDescent="0.25">
      <c r="B116" t="s">
        <v>284</v>
      </c>
    </row>
    <row r="117" spans="2:2" x14ac:dyDescent="0.25">
      <c r="B117" t="s">
        <v>115</v>
      </c>
    </row>
    <row r="118" spans="2:2" x14ac:dyDescent="0.25">
      <c r="B118" t="s">
        <v>148</v>
      </c>
    </row>
    <row r="119" spans="2:2" x14ac:dyDescent="0.25">
      <c r="B119" t="s">
        <v>252</v>
      </c>
    </row>
    <row r="120" spans="2:2" x14ac:dyDescent="0.25">
      <c r="B120" t="s">
        <v>134</v>
      </c>
    </row>
    <row r="121" spans="2:2" x14ac:dyDescent="0.25">
      <c r="B121" t="s">
        <v>337</v>
      </c>
    </row>
    <row r="122" spans="2:2" x14ac:dyDescent="0.25">
      <c r="B122" t="s">
        <v>240</v>
      </c>
    </row>
    <row r="123" spans="2:2" x14ac:dyDescent="0.25">
      <c r="B123" t="s">
        <v>331</v>
      </c>
    </row>
    <row r="124" spans="2:2" x14ac:dyDescent="0.25">
      <c r="B124" t="s">
        <v>286</v>
      </c>
    </row>
    <row r="125" spans="2:2" x14ac:dyDescent="0.25">
      <c r="B125" t="s">
        <v>279</v>
      </c>
    </row>
    <row r="126" spans="2:2" x14ac:dyDescent="0.25">
      <c r="B126" t="s">
        <v>192</v>
      </c>
    </row>
    <row r="127" spans="2:2" x14ac:dyDescent="0.25">
      <c r="B127" t="s">
        <v>116</v>
      </c>
    </row>
    <row r="128" spans="2:2" x14ac:dyDescent="0.25">
      <c r="B128" t="s">
        <v>157</v>
      </c>
    </row>
    <row r="129" spans="2:2" x14ac:dyDescent="0.25">
      <c r="B129" t="s">
        <v>260</v>
      </c>
    </row>
    <row r="130" spans="2:2" x14ac:dyDescent="0.25">
      <c r="B130" t="s">
        <v>277</v>
      </c>
    </row>
    <row r="131" spans="2:2" x14ac:dyDescent="0.25">
      <c r="B131" t="s">
        <v>197</v>
      </c>
    </row>
    <row r="132" spans="2:2" x14ac:dyDescent="0.25">
      <c r="B132" t="s">
        <v>141</v>
      </c>
    </row>
    <row r="133" spans="2:2" x14ac:dyDescent="0.25">
      <c r="B133" t="s">
        <v>320</v>
      </c>
    </row>
    <row r="134" spans="2:2" x14ac:dyDescent="0.25">
      <c r="B134" t="s">
        <v>341</v>
      </c>
    </row>
    <row r="135" spans="2:2" x14ac:dyDescent="0.25">
      <c r="B135" t="s">
        <v>343</v>
      </c>
    </row>
    <row r="136" spans="2:2" x14ac:dyDescent="0.25">
      <c r="B136" t="s">
        <v>314</v>
      </c>
    </row>
    <row r="137" spans="2:2" x14ac:dyDescent="0.25">
      <c r="B137" t="s">
        <v>318</v>
      </c>
    </row>
    <row r="138" spans="2:2" x14ac:dyDescent="0.25">
      <c r="B138" t="s">
        <v>348</v>
      </c>
    </row>
    <row r="139" spans="2:2" x14ac:dyDescent="0.25">
      <c r="B139" t="s">
        <v>188</v>
      </c>
    </row>
    <row r="140" spans="2:2" x14ac:dyDescent="0.25">
      <c r="B140" t="s">
        <v>220</v>
      </c>
    </row>
    <row r="141" spans="2:2" x14ac:dyDescent="0.25">
      <c r="B141" t="s">
        <v>165</v>
      </c>
    </row>
    <row r="142" spans="2:2" x14ac:dyDescent="0.25">
      <c r="B142" t="s">
        <v>300</v>
      </c>
    </row>
    <row r="143" spans="2:2" x14ac:dyDescent="0.25">
      <c r="B143" t="s">
        <v>110</v>
      </c>
    </row>
    <row r="144" spans="2:2" x14ac:dyDescent="0.25">
      <c r="B144" t="s">
        <v>313</v>
      </c>
    </row>
    <row r="145" spans="2:2" x14ac:dyDescent="0.25">
      <c r="B145" t="s">
        <v>291</v>
      </c>
    </row>
    <row r="146" spans="2:2" x14ac:dyDescent="0.25">
      <c r="B146" t="s">
        <v>132</v>
      </c>
    </row>
    <row r="147" spans="2:2" x14ac:dyDescent="0.25">
      <c r="B147" t="s">
        <v>158</v>
      </c>
    </row>
    <row r="148" spans="2:2" x14ac:dyDescent="0.25">
      <c r="B148" t="s">
        <v>235</v>
      </c>
    </row>
    <row r="149" spans="2:2" x14ac:dyDescent="0.25">
      <c r="B149" t="s">
        <v>214</v>
      </c>
    </row>
    <row r="150" spans="2:2" x14ac:dyDescent="0.25">
      <c r="B150" t="s">
        <v>261</v>
      </c>
    </row>
    <row r="151" spans="2:2" x14ac:dyDescent="0.25">
      <c r="B151" t="s">
        <v>121</v>
      </c>
    </row>
    <row r="152" spans="2:2" x14ac:dyDescent="0.25">
      <c r="B152" t="s">
        <v>161</v>
      </c>
    </row>
    <row r="153" spans="2:2" x14ac:dyDescent="0.25">
      <c r="B153" t="s">
        <v>159</v>
      </c>
    </row>
    <row r="154" spans="2:2" x14ac:dyDescent="0.25">
      <c r="B154" t="s">
        <v>120</v>
      </c>
    </row>
    <row r="155" spans="2:2" x14ac:dyDescent="0.25">
      <c r="B155" t="s">
        <v>330</v>
      </c>
    </row>
    <row r="156" spans="2:2" x14ac:dyDescent="0.25">
      <c r="B156" t="s">
        <v>174</v>
      </c>
    </row>
    <row r="157" spans="2:2" x14ac:dyDescent="0.25">
      <c r="B157" t="s">
        <v>325</v>
      </c>
    </row>
    <row r="158" spans="2:2" x14ac:dyDescent="0.25">
      <c r="B158" t="s">
        <v>17</v>
      </c>
    </row>
    <row r="159" spans="2:2" x14ac:dyDescent="0.25">
      <c r="B159" t="s">
        <v>47</v>
      </c>
    </row>
    <row r="160" spans="2:2" x14ac:dyDescent="0.25">
      <c r="B160" t="s">
        <v>198</v>
      </c>
    </row>
    <row r="161" spans="2:2" x14ac:dyDescent="0.25">
      <c r="B161" t="s">
        <v>254</v>
      </c>
    </row>
    <row r="162" spans="2:2" x14ac:dyDescent="0.25">
      <c r="B162" t="s">
        <v>207</v>
      </c>
    </row>
    <row r="163" spans="2:2" x14ac:dyDescent="0.25">
      <c r="B163" t="s">
        <v>208</v>
      </c>
    </row>
    <row r="164" spans="2:2" x14ac:dyDescent="0.25">
      <c r="B164" t="s">
        <v>204</v>
      </c>
    </row>
    <row r="165" spans="2:2" x14ac:dyDescent="0.25">
      <c r="B165" t="s">
        <v>162</v>
      </c>
    </row>
    <row r="166" spans="2:2" x14ac:dyDescent="0.25">
      <c r="B166" t="s">
        <v>19</v>
      </c>
    </row>
    <row r="167" spans="2:2" x14ac:dyDescent="0.25">
      <c r="B167" t="s">
        <v>62</v>
      </c>
    </row>
    <row r="168" spans="2:2" x14ac:dyDescent="0.25">
      <c r="B168" t="s">
        <v>58</v>
      </c>
    </row>
    <row r="169" spans="2:2" x14ac:dyDescent="0.25">
      <c r="B169" t="s">
        <v>14</v>
      </c>
    </row>
    <row r="170" spans="2:2" x14ac:dyDescent="0.25">
      <c r="B170" t="s">
        <v>287</v>
      </c>
    </row>
    <row r="171" spans="2:2" x14ac:dyDescent="0.25">
      <c r="B171" t="s">
        <v>213</v>
      </c>
    </row>
    <row r="172" spans="2:2" x14ac:dyDescent="0.25">
      <c r="B172" t="s">
        <v>53</v>
      </c>
    </row>
    <row r="173" spans="2:2" x14ac:dyDescent="0.25">
      <c r="B173" t="s">
        <v>232</v>
      </c>
    </row>
    <row r="174" spans="2:2" x14ac:dyDescent="0.25">
      <c r="B174" t="s">
        <v>307</v>
      </c>
    </row>
    <row r="175" spans="2:2" x14ac:dyDescent="0.25">
      <c r="B175" t="s">
        <v>175</v>
      </c>
    </row>
    <row r="176" spans="2:2" x14ac:dyDescent="0.25">
      <c r="B176" t="s">
        <v>349</v>
      </c>
    </row>
    <row r="177" spans="2:2" x14ac:dyDescent="0.25">
      <c r="B177" t="s">
        <v>133</v>
      </c>
    </row>
    <row r="178" spans="2:2" x14ac:dyDescent="0.25">
      <c r="B178" t="s">
        <v>185</v>
      </c>
    </row>
    <row r="179" spans="2:2" x14ac:dyDescent="0.25">
      <c r="B179" t="s">
        <v>280</v>
      </c>
    </row>
    <row r="180" spans="2:2" x14ac:dyDescent="0.25">
      <c r="B180" t="s">
        <v>304</v>
      </c>
    </row>
    <row r="181" spans="2:2" x14ac:dyDescent="0.25">
      <c r="B181" t="s">
        <v>74</v>
      </c>
    </row>
    <row r="182" spans="2:2" x14ac:dyDescent="0.25">
      <c r="B182" t="s">
        <v>101</v>
      </c>
    </row>
    <row r="183" spans="2:2" x14ac:dyDescent="0.25">
      <c r="B183" t="s">
        <v>352</v>
      </c>
    </row>
    <row r="184" spans="2:2" x14ac:dyDescent="0.25">
      <c r="B184" t="s">
        <v>275</v>
      </c>
    </row>
    <row r="185" spans="2:2" x14ac:dyDescent="0.25">
      <c r="B185" t="s">
        <v>238</v>
      </c>
    </row>
    <row r="186" spans="2:2" x14ac:dyDescent="0.25">
      <c r="B186" t="s">
        <v>301</v>
      </c>
    </row>
    <row r="187" spans="2:2" x14ac:dyDescent="0.25">
      <c r="B187" t="s">
        <v>306</v>
      </c>
    </row>
    <row r="188" spans="2:2" x14ac:dyDescent="0.25">
      <c r="B188" t="s">
        <v>30</v>
      </c>
    </row>
    <row r="189" spans="2:2" x14ac:dyDescent="0.25">
      <c r="B189" t="s">
        <v>102</v>
      </c>
    </row>
    <row r="190" spans="2:2" x14ac:dyDescent="0.25">
      <c r="B190" t="s">
        <v>72</v>
      </c>
    </row>
    <row r="191" spans="2:2" x14ac:dyDescent="0.25">
      <c r="B191" t="s">
        <v>211</v>
      </c>
    </row>
    <row r="192" spans="2:2" x14ac:dyDescent="0.25">
      <c r="B192" t="s">
        <v>247</v>
      </c>
    </row>
    <row r="193" spans="2:2" x14ac:dyDescent="0.25">
      <c r="B193" t="s">
        <v>321</v>
      </c>
    </row>
    <row r="194" spans="2:2" x14ac:dyDescent="0.25">
      <c r="B194" t="s">
        <v>21</v>
      </c>
    </row>
    <row r="195" spans="2:2" x14ac:dyDescent="0.25">
      <c r="B195" t="s">
        <v>166</v>
      </c>
    </row>
    <row r="196" spans="2:2" x14ac:dyDescent="0.25">
      <c r="B196" t="s">
        <v>125</v>
      </c>
    </row>
    <row r="197" spans="2:2" x14ac:dyDescent="0.25">
      <c r="B197" t="s">
        <v>219</v>
      </c>
    </row>
    <row r="198" spans="2:2" x14ac:dyDescent="0.25">
      <c r="B198" t="s">
        <v>322</v>
      </c>
    </row>
    <row r="199" spans="2:2" x14ac:dyDescent="0.25">
      <c r="B199" t="s">
        <v>288</v>
      </c>
    </row>
    <row r="200" spans="2:2" x14ac:dyDescent="0.25">
      <c r="B200" t="s">
        <v>189</v>
      </c>
    </row>
    <row r="201" spans="2:2" x14ac:dyDescent="0.25">
      <c r="B201" t="s">
        <v>334</v>
      </c>
    </row>
    <row r="202" spans="2:2" x14ac:dyDescent="0.25">
      <c r="B202" t="s">
        <v>210</v>
      </c>
    </row>
    <row r="203" spans="2:2" x14ac:dyDescent="0.25">
      <c r="B203" t="s">
        <v>338</v>
      </c>
    </row>
    <row r="204" spans="2:2" x14ac:dyDescent="0.25">
      <c r="B204" t="s">
        <v>226</v>
      </c>
    </row>
    <row r="205" spans="2:2" x14ac:dyDescent="0.25">
      <c r="B205" t="s">
        <v>246</v>
      </c>
    </row>
    <row r="206" spans="2:2" x14ac:dyDescent="0.25">
      <c r="B206" t="s">
        <v>290</v>
      </c>
    </row>
    <row r="207" spans="2:2" x14ac:dyDescent="0.25">
      <c r="B207" t="s">
        <v>289</v>
      </c>
    </row>
    <row r="208" spans="2:2" x14ac:dyDescent="0.25">
      <c r="B208" t="s">
        <v>33</v>
      </c>
    </row>
    <row r="209" spans="2:2" x14ac:dyDescent="0.25">
      <c r="B209" t="s">
        <v>70</v>
      </c>
    </row>
    <row r="210" spans="2:2" x14ac:dyDescent="0.25">
      <c r="B210" t="s">
        <v>143</v>
      </c>
    </row>
    <row r="211" spans="2:2" x14ac:dyDescent="0.25">
      <c r="B211" t="s">
        <v>299</v>
      </c>
    </row>
    <row r="212" spans="2:2" x14ac:dyDescent="0.25">
      <c r="B212" t="s">
        <v>305</v>
      </c>
    </row>
    <row r="213" spans="2:2" x14ac:dyDescent="0.25">
      <c r="B213" t="s">
        <v>253</v>
      </c>
    </row>
    <row r="214" spans="2:2" x14ac:dyDescent="0.25">
      <c r="B214" t="s">
        <v>91</v>
      </c>
    </row>
    <row r="215" spans="2:2" x14ac:dyDescent="0.25">
      <c r="B215" t="s">
        <v>130</v>
      </c>
    </row>
    <row r="216" spans="2:2" x14ac:dyDescent="0.25">
      <c r="B216" t="s">
        <v>81</v>
      </c>
    </row>
    <row r="217" spans="2:2" x14ac:dyDescent="0.25">
      <c r="B217" t="s">
        <v>111</v>
      </c>
    </row>
    <row r="218" spans="2:2" x14ac:dyDescent="0.25">
      <c r="B218" t="s">
        <v>184</v>
      </c>
    </row>
    <row r="219" spans="2:2" x14ac:dyDescent="0.25">
      <c r="B219" t="s">
        <v>39</v>
      </c>
    </row>
    <row r="220" spans="2:2" x14ac:dyDescent="0.25">
      <c r="B220" t="s">
        <v>269</v>
      </c>
    </row>
    <row r="221" spans="2:2" x14ac:dyDescent="0.25">
      <c r="B221" t="s">
        <v>205</v>
      </c>
    </row>
    <row r="222" spans="2:2" x14ac:dyDescent="0.25">
      <c r="B222" t="s">
        <v>293</v>
      </c>
    </row>
    <row r="223" spans="2:2" x14ac:dyDescent="0.25">
      <c r="B223" t="s">
        <v>276</v>
      </c>
    </row>
    <row r="224" spans="2:2" x14ac:dyDescent="0.25">
      <c r="B224" t="s">
        <v>316</v>
      </c>
    </row>
    <row r="225" spans="2:2" x14ac:dyDescent="0.25">
      <c r="B225" t="s">
        <v>285</v>
      </c>
    </row>
    <row r="226" spans="2:2" x14ac:dyDescent="0.25">
      <c r="B226" t="s">
        <v>64</v>
      </c>
    </row>
    <row r="227" spans="2:2" x14ac:dyDescent="0.25">
      <c r="B227" t="s">
        <v>196</v>
      </c>
    </row>
    <row r="228" spans="2:2" x14ac:dyDescent="0.25">
      <c r="B228" t="s">
        <v>151</v>
      </c>
    </row>
    <row r="229" spans="2:2" x14ac:dyDescent="0.25">
      <c r="B229" t="s">
        <v>123</v>
      </c>
    </row>
    <row r="230" spans="2:2" x14ac:dyDescent="0.25">
      <c r="B230" t="s">
        <v>90</v>
      </c>
    </row>
    <row r="231" spans="2:2" x14ac:dyDescent="0.25">
      <c r="B231" t="s">
        <v>77</v>
      </c>
    </row>
    <row r="232" spans="2:2" x14ac:dyDescent="0.25">
      <c r="B232" t="s">
        <v>225</v>
      </c>
    </row>
    <row r="233" spans="2:2" x14ac:dyDescent="0.25">
      <c r="B233" t="s">
        <v>104</v>
      </c>
    </row>
    <row r="234" spans="2:2" x14ac:dyDescent="0.25">
      <c r="B234" t="s">
        <v>270</v>
      </c>
    </row>
    <row r="235" spans="2:2" x14ac:dyDescent="0.25">
      <c r="B235" t="s">
        <v>122</v>
      </c>
    </row>
    <row r="236" spans="2:2" x14ac:dyDescent="0.25">
      <c r="B236" t="s">
        <v>12</v>
      </c>
    </row>
    <row r="237" spans="2:2" x14ac:dyDescent="0.25">
      <c r="B237" t="s">
        <v>86</v>
      </c>
    </row>
    <row r="238" spans="2:2" x14ac:dyDescent="0.25">
      <c r="B238" t="s">
        <v>71</v>
      </c>
    </row>
    <row r="239" spans="2:2" x14ac:dyDescent="0.25">
      <c r="B239" t="s">
        <v>37</v>
      </c>
    </row>
    <row r="240" spans="2:2" x14ac:dyDescent="0.25">
      <c r="B240" t="s">
        <v>105</v>
      </c>
    </row>
    <row r="241" spans="2:2" x14ac:dyDescent="0.25">
      <c r="B241" t="s">
        <v>127</v>
      </c>
    </row>
    <row r="242" spans="2:2" x14ac:dyDescent="0.25">
      <c r="B242" t="s">
        <v>146</v>
      </c>
    </row>
    <row r="243" spans="2:2" x14ac:dyDescent="0.25">
      <c r="B243" t="s">
        <v>163</v>
      </c>
    </row>
    <row r="244" spans="2:2" x14ac:dyDescent="0.25">
      <c r="B244" t="s">
        <v>66</v>
      </c>
    </row>
    <row r="245" spans="2:2" x14ac:dyDescent="0.25">
      <c r="B245" t="s">
        <v>255</v>
      </c>
    </row>
    <row r="246" spans="2:2" x14ac:dyDescent="0.25">
      <c r="B246" t="s">
        <v>328</v>
      </c>
    </row>
    <row r="247" spans="2:2" x14ac:dyDescent="0.25">
      <c r="B247" t="s">
        <v>353</v>
      </c>
    </row>
    <row r="248" spans="2:2" x14ac:dyDescent="0.25">
      <c r="B248" t="s">
        <v>278</v>
      </c>
    </row>
    <row r="249" spans="2:2" x14ac:dyDescent="0.25">
      <c r="B249" t="s">
        <v>249</v>
      </c>
    </row>
    <row r="250" spans="2:2" x14ac:dyDescent="0.25">
      <c r="B250" t="s">
        <v>231</v>
      </c>
    </row>
    <row r="251" spans="2:2" x14ac:dyDescent="0.25">
      <c r="B251" t="s">
        <v>335</v>
      </c>
    </row>
    <row r="252" spans="2:2" x14ac:dyDescent="0.25">
      <c r="B252" t="s">
        <v>140</v>
      </c>
    </row>
    <row r="253" spans="2:2" x14ac:dyDescent="0.25">
      <c r="B253" t="s">
        <v>264</v>
      </c>
    </row>
    <row r="254" spans="2:2" x14ac:dyDescent="0.25">
      <c r="B254" t="s">
        <v>76</v>
      </c>
    </row>
    <row r="255" spans="2:2" x14ac:dyDescent="0.25">
      <c r="B255" t="s">
        <v>80</v>
      </c>
    </row>
    <row r="256" spans="2:2" x14ac:dyDescent="0.25">
      <c r="B256" t="s">
        <v>144</v>
      </c>
    </row>
    <row r="257" spans="2:2" x14ac:dyDescent="0.25">
      <c r="B257" t="s">
        <v>99</v>
      </c>
    </row>
    <row r="258" spans="2:2" x14ac:dyDescent="0.25">
      <c r="B258" t="s">
        <v>92</v>
      </c>
    </row>
    <row r="259" spans="2:2" x14ac:dyDescent="0.25">
      <c r="B259" t="s">
        <v>218</v>
      </c>
    </row>
    <row r="260" spans="2:2" x14ac:dyDescent="0.25">
      <c r="B260" t="s">
        <v>145</v>
      </c>
    </row>
    <row r="261" spans="2:2" x14ac:dyDescent="0.25">
      <c r="B261" t="s">
        <v>59</v>
      </c>
    </row>
    <row r="262" spans="2:2" x14ac:dyDescent="0.25">
      <c r="B262" t="s">
        <v>229</v>
      </c>
    </row>
    <row r="263" spans="2:2" x14ac:dyDescent="0.25">
      <c r="B263" t="s">
        <v>248</v>
      </c>
    </row>
    <row r="264" spans="2:2" x14ac:dyDescent="0.25">
      <c r="B264" t="s">
        <v>46</v>
      </c>
    </row>
    <row r="265" spans="2:2" x14ac:dyDescent="0.25">
      <c r="B265" t="s">
        <v>281</v>
      </c>
    </row>
    <row r="266" spans="2:2" x14ac:dyDescent="0.25">
      <c r="B266" t="s">
        <v>333</v>
      </c>
    </row>
    <row r="267" spans="2:2" x14ac:dyDescent="0.25">
      <c r="B267" t="s">
        <v>297</v>
      </c>
    </row>
    <row r="268" spans="2:2" x14ac:dyDescent="0.25">
      <c r="B268" t="s">
        <v>230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Bill Of Material</vt:lpstr>
      <vt:lpstr>Azure Rate Card</vt:lpstr>
      <vt:lpstr>Mapping Table</vt:lpstr>
      <vt:lpstr>'Azure Rate Card'!Extract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Ninad Kanthi</dc:creator>
  <cp:lastModifiedBy>Ninad Kanthi</cp:lastModifiedBy>
  <dcterms:created xsi:type="dcterms:W3CDTF">2015-11-11T11:57:11Z</dcterms:created>
  <dcterms:modified xsi:type="dcterms:W3CDTF">2015-11-14T02:06:24Z</dcterms:modified>
</cp:coreProperties>
</file>